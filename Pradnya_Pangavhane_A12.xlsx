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C:\Users\pradn\Documents\Godrej-Infotech\"/>
    </mc:Choice>
  </mc:AlternateContent>
  <xr:revisionPtr revIDLastSave="0" documentId="13_ncr:1_{BEDA19A9-A399-45E6-8B47-E6D03E0BD1D9}" xr6:coauthVersionLast="47" xr6:coauthVersionMax="47" xr10:uidLastSave="{00000000-0000-0000-0000-000000000000}"/>
  <bookViews>
    <workbookView xWindow="-120" yWindow="-120" windowWidth="20730" windowHeight="11040" firstSheet="4" activeTab="5" xr2:uid="{54EFA88E-01A3-473F-A747-2ED6BA807C26}"/>
  </bookViews>
  <sheets>
    <sheet name="INFO" sheetId="2" r:id="rId1"/>
    <sheet name="DataSet" sheetId="1" r:id="rId2"/>
    <sheet name="CENTRAL-TENDENCY" sheetId="5" r:id="rId3"/>
    <sheet name="LINEAR-REGRESSION" sheetId="4" r:id="rId4"/>
    <sheet name="REGRESSION" sheetId="8" r:id="rId5"/>
    <sheet name="TYPES OF CLOUD SERVICES" sheetId="6" r:id="rId6"/>
    <sheet name="Cloud-hosted-applications" sheetId="7" r:id="rId7"/>
    <sheet name="Tasks" sheetId="9"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7" i="1" l="1"/>
  <c r="C207" i="1"/>
  <c r="D207" i="1"/>
  <c r="E207" i="1"/>
  <c r="C205" i="1"/>
  <c r="D205" i="1"/>
  <c r="E205" i="1"/>
  <c r="B205" i="1"/>
  <c r="E203" i="1"/>
  <c r="D203" i="1"/>
  <c r="C203" i="1"/>
  <c r="B203" i="1"/>
  <c r="A207" i="1"/>
  <c r="A205" i="1"/>
  <c r="A203" i="1"/>
</calcChain>
</file>

<file path=xl/sharedStrings.xml><?xml version="1.0" encoding="utf-8"?>
<sst xmlns="http://schemas.openxmlformats.org/spreadsheetml/2006/main" count="157" uniqueCount="98">
  <si>
    <t>PRADNYA SHAILENDRA PANGAVHANE</t>
  </si>
  <si>
    <t>DEPT : ELECTRONICS AND COMPUTER ENGINEERING</t>
  </si>
  <si>
    <t>EMAIL : pradnyapangavhane5@gmail.com</t>
  </si>
  <si>
    <t>https://www.kaggle.com/datasets/yasserh/advertising-sales-dataset</t>
  </si>
  <si>
    <t>TV Ad Budget ($)</t>
  </si>
  <si>
    <t>Radio Ad Budget ($)</t>
  </si>
  <si>
    <t>Newspaper Ad Budget ($)</t>
  </si>
  <si>
    <t xml:space="preserve"> Actual Sales ($)</t>
  </si>
  <si>
    <t>Predicted sales</t>
  </si>
  <si>
    <t xml:space="preserve">MEAN : </t>
  </si>
  <si>
    <t xml:space="preserve">MEDIAN : </t>
  </si>
  <si>
    <t xml:space="preserve">MODE : </t>
  </si>
  <si>
    <t>Measures of Central Tendency</t>
  </si>
  <si>
    <t>Mean</t>
  </si>
  <si>
    <t>Standard Error</t>
  </si>
  <si>
    <t>Median</t>
  </si>
  <si>
    <t>Mode</t>
  </si>
  <si>
    <t>Standard Deviation</t>
  </si>
  <si>
    <t>Sample Variance</t>
  </si>
  <si>
    <t>Kurtosis</t>
  </si>
  <si>
    <t>Skewness</t>
  </si>
  <si>
    <t>Range</t>
  </si>
  <si>
    <t>Minimum</t>
  </si>
  <si>
    <t>Maximum</t>
  </si>
  <si>
    <t>Sum</t>
  </si>
  <si>
    <t>Count</t>
  </si>
  <si>
    <t>Linear Regression Analysis Using Power BI</t>
  </si>
  <si>
    <t>The objective of this analysis is to examine the relationship between advertisement budgets (TV, Radio, and Newspaper) and actual sales using Linear Regression in Power BI. The purpose is to identify which advertising medium has the strongest impact on sales.</t>
  </si>
  <si>
    <t>The dataset containing advertisement budgets and actual sales was imported into Power BI. Scatter plots were created to visualize the relationship between each advertising channel and sales.
For each scatter plot:
X-axis: Advertisement Budget
Y-axis: Actual Sales
A linear trend line was added using the Analytics pane.
Linear regression helps in understanding how sales change with variation in advertisement spending.</t>
  </si>
  <si>
    <r>
      <rPr>
        <b/>
        <sz val="16"/>
        <color theme="1"/>
        <rFont val="Times New Roman"/>
        <family val="1"/>
      </rPr>
      <t>Analysis and Observation</t>
    </r>
    <r>
      <rPr>
        <sz val="11"/>
        <color theme="1"/>
        <rFont val="Times New Roman"/>
        <family val="1"/>
      </rPr>
      <t xml:space="preserve">
TV Advertisement
Shows a strong positive relationship with sales.
Sales increase significantly as TV budget increases.
Strong influence on overall sales performance.
Radio Advertisement
Shows a moderate positive relationship with sales.
Sales increase with radio budget but not as strongly as TV.
Moderate impact on sales.
Newspaper Advertisement
Shows a weak relationship with sales.
Data points are highly scattered.
Minimal impact on sales compared to TV and Radio.</t>
    </r>
  </si>
  <si>
    <t>SUMMARY OUTPUT</t>
  </si>
  <si>
    <t>Regression Statistics</t>
  </si>
  <si>
    <t>Multiple R</t>
  </si>
  <si>
    <t>R Square</t>
  </si>
  <si>
    <t>Adjusted R Square</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</si>
  <si>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</si>
  <si>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</si>
  <si>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</si>
  <si>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</si>
  <si>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</si>
  <si>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</si>
  <si>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</si>
  <si>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</si>
  <si>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</si>
  <si>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</si>
  <si>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</si>
  <si>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</si>
  <si>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</si>
  <si>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</si>
  <si>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</si>
  <si>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</si>
  <si>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</si>
  <si>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</si>
  <si>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X Variable 1</t>
  </si>
  <si>
    <t>Types of Cloud Services (SaaS, PaaS, IaaS)</t>
  </si>
  <si>
    <r>
      <rPr>
        <b/>
        <sz val="11"/>
        <rFont val="Times New Roman"/>
        <family val="1"/>
      </rPr>
      <t>1. Software as a Service(SaaS)</t>
    </r>
    <r>
      <rPr>
        <sz val="11"/>
        <color theme="1"/>
        <rFont val="Times New Roman"/>
        <family val="1"/>
      </rPr>
      <t xml:space="preserve">
Software as a Service (SaaS) is a cloud computing model in which software applications are delivered over the internet and accessed through a web browser, eliminating the need for local installation, maintenance, or updates. The service provider manages the application, infrastructure, and security, while users pay on a usage or subscription basis.
Accessible through a web browser
Pay-as-you-go or subscription-based pricing
Can be accessed anytime, anywhere
Also known as web-based or on-demand software</t>
    </r>
  </si>
  <si>
    <t>Popular SaaS Providers: Salesforce, Microsoft Office 365, Google Workspace, Dropbox, BigCommerce, Zoho, Slack.</t>
  </si>
  <si>
    <t>Example: Google Docs is a SaaS application where users can create and edit documents online without installation, while Google handles storage and updates.</t>
  </si>
  <si>
    <r>
      <rPr>
        <b/>
        <sz val="11"/>
        <color theme="1"/>
        <rFont val="Times New Roman"/>
        <family val="1"/>
      </rPr>
      <t>2. Platform as a Service</t>
    </r>
    <r>
      <rPr>
        <sz val="11"/>
        <color theme="1"/>
        <rFont val="Times New Roman"/>
        <family val="1"/>
      </rPr>
      <t xml:space="preserve">
Platform as a Service (PaaS) is a cloud computing model that provides developers with a ready-to-use platform for building, testing, deploying, and managing applications without worrying about underlying hardware, operating systems, or infrastructure. The service provider manages servers, storage, and runtime environments, allowing developers to focus only on application logic.
Accessed through a web browser
Backend infrastructure is managed by the provider
Developers control the application and its behavior</t>
    </r>
  </si>
  <si>
    <t>Popular PaaS Providers: AWS Elastic Beanstalk, Google App Engine, Azure App Service, Salesforce Platform (Force.com), CloudBees, IBM Cloud</t>
  </si>
  <si>
    <t>Example: PaaS is like renting a fully equipped venue for an event—basic setup is already done, so you can concentrate on organizing the event. Similarly, developers focus on coding while the provider handles backend infrastructure.</t>
  </si>
  <si>
    <r>
      <rPr>
        <b/>
        <sz val="11"/>
        <rFont val="Times New Roman"/>
        <family val="1"/>
      </rPr>
      <t>2. Infrastructure as a Service</t>
    </r>
    <r>
      <rPr>
        <sz val="11"/>
        <color theme="1"/>
        <rFont val="Times New Roman"/>
        <family val="1"/>
      </rPr>
      <t xml:space="preserve">
Infrastructure as a Service (IaaS) is a cloud computing model in which virtualized computing resources such as servers, storage, and networking are provided over the internet on a rental basis. The cloud provider manages the physical infrastructure, while users control the operating system, applications, and data.
Provides virtual machines, storage, and networking
Pay-as-you-use pricing model
Users have full control over OS and applications</t>
    </r>
  </si>
  <si>
    <t>Popular IaaS Providers: Amazon Web Services (AWS), Microsoft Azure, Google Cloud, IBM Cloud, Rackspace, VMware.</t>
  </si>
  <si>
    <t>Example: IaaS is like renting a server instead of buying one. You use the provider’s hardware and network, but you decide what software or website runs on it.</t>
  </si>
  <si>
    <t xml:space="preserve">Examples of Web-Based Cloud Hosted Applications </t>
  </si>
  <si>
    <r>
      <rPr>
        <b/>
        <sz val="11"/>
        <color theme="1"/>
        <rFont val="Times New Roman"/>
        <family val="1"/>
      </rPr>
      <t>Google Docs</t>
    </r>
    <r>
      <rPr>
        <sz val="11"/>
        <color theme="1"/>
        <rFont val="Times New Roman"/>
        <family val="1"/>
      </rPr>
      <t xml:space="preserve">
Type: Web-based productivity application
Purpose: Create and edit documents online
Google Docs allows users to create, edit, and share documents directly in a web browser. All documents are stored in the cloud (Google Drive), and multiple users can collaborate in real-time.
Why it is cloud-hosted:
No software installation required
Data stored on remote cloud servers
Automatic saving and updates
Accessible from any device with internet</t>
    </r>
  </si>
  <si>
    <r>
      <rPr>
        <b/>
        <sz val="11"/>
        <color theme="1"/>
        <rFont val="Times New Roman"/>
        <family val="1"/>
      </rPr>
      <t>Gmail</t>
    </r>
    <r>
      <rPr>
        <sz val="11"/>
        <color theme="1"/>
        <rFont val="Times New Roman"/>
        <family val="1"/>
      </rPr>
      <t xml:space="preserve">
Type: Web-based email service
Purpose: Send and receive emails
Gmail is accessed through a web browser without installing any email software. Emails are stored securely on cloud servers.
Why it is cloud-hosted:
Emails stored in cloud storage
Accessible from anywhere
Spam filtering and security handled by cloud servers
Automatic synchronization across devices</t>
    </r>
  </si>
  <si>
    <r>
      <rPr>
        <b/>
        <sz val="11"/>
        <color theme="1"/>
        <rFont val="Times New Roman"/>
        <family val="1"/>
      </rPr>
      <t>Amazon</t>
    </r>
    <r>
      <rPr>
        <sz val="11"/>
        <color theme="1"/>
        <rFont val="Times New Roman"/>
        <family val="1"/>
      </rPr>
      <t xml:space="preserve">
Type: Web-based e-commerce platform
Purpose: Online shopping
Amazon operates entirely on cloud infrastructure. Users browse products, make payments, and track orders through a web browser.
Why it is cloud-hosted:
Large product database stored in cloud
Handles millions of users simultaneously
Scalable infrastructure
Secure payment processing</t>
    </r>
  </si>
  <si>
    <r>
      <rPr>
        <b/>
        <sz val="11"/>
        <color theme="1"/>
        <rFont val="Times New Roman"/>
        <family val="1"/>
      </rPr>
      <t>Netflix</t>
    </r>
    <r>
      <rPr>
        <sz val="11"/>
        <color theme="1"/>
        <rFont val="Times New Roman"/>
        <family val="1"/>
      </rPr>
      <t xml:space="preserve">
Type: Web-based streaming application
Purpose: Online video streaming
Netflix streams movies and series directly through a web browser. All content is stored and delivered via cloud servers.
Why it is cloud-hosted:
High data storage and processing power
Global content delivery network
Automatic recommendations using cloud-based AI
No local storage required</t>
    </r>
  </si>
  <si>
    <r>
      <rPr>
        <b/>
        <sz val="11"/>
        <color theme="1"/>
        <rFont val="Times New Roman"/>
        <family val="1"/>
      </rPr>
      <t>Zoom</t>
    </r>
    <r>
      <rPr>
        <sz val="11"/>
        <color theme="1"/>
        <rFont val="Times New Roman"/>
        <family val="1"/>
      </rPr>
      <t xml:space="preserve">
Type: Web-based video conferencing application
Purpose: Online meetings and communication
Zoom allows users to join meetings directly from a browser without installing software. The meeting data and video processing are handled by cloud servers.
Why it is cloud-hosted:
Real-time data processing in cloud
Scalable for large meetings
Secure cloud-based communication</t>
    </r>
  </si>
  <si>
    <t>Difference Between Data Warehouse and Big Data</t>
  </si>
  <si>
    <t>Basis</t>
  </si>
  <si>
    <t>Data Warehouse</t>
  </si>
  <si>
    <t>Big Data</t>
  </si>
  <si>
    <t>Meaning</t>
  </si>
  <si>
    <t>Central storage of structured business data</t>
  </si>
  <si>
    <t>Very large data (structured + unstructured)</t>
  </si>
  <si>
    <t>Type of Data</t>
  </si>
  <si>
    <t>Mostly structured (tables, rows, columns)</t>
  </si>
  <si>
    <t>Structured, semi-structured &amp; unstructured (videos, images, social media)</t>
  </si>
  <si>
    <t>Data Size</t>
  </si>
  <si>
    <t>Large but manageable (GB–TB)</t>
  </si>
  <si>
    <t>Extremely large (TB–PB–EB)</t>
  </si>
  <si>
    <t>Purpose</t>
  </si>
  <si>
    <t>Business reporting and analysis</t>
  </si>
  <si>
    <t>Advanced analytics, prediction, AI</t>
  </si>
  <si>
    <t>Example</t>
  </si>
  <si>
    <t>Zomato sales reports</t>
  </si>
  <si>
    <t>Zomato app logs, GPS tracking, customer reviews, images</t>
  </si>
  <si>
    <t>Tools Used</t>
  </si>
  <si>
    <t>SQL, OLAP</t>
  </si>
  <si>
    <t>Hadoop, Spark, NoSQL</t>
  </si>
  <si>
    <t>Processing Type</t>
  </si>
  <si>
    <t>Batch processing</t>
  </si>
  <si>
    <t>Batch + Real-time processing</t>
  </si>
  <si>
    <t>Users</t>
  </si>
  <si>
    <t>Managers &amp; business analysts</t>
  </si>
  <si>
    <t>Data scientists &amp; ML engineers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</si>
</sst>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color theme="1"/>
      <name val="Times New Roman"/>
      <family val="1"/>
    </font>
    <font>
      <sz val="14"/>
      <color theme="1"/>
      <name val="Times New Roman"/>
      <family val="1"/>
    </font>
    <font>
      <b/>
      <sz val="11"/>
      <color theme="1"/>
      <name val="Times New Roman"/>
      <family val="1"/>
    </font>
    <font>
      <i/>
      <sz val="11"/>
      <color theme="1"/>
      <name val="Calibri"/>
      <family val="2"/>
      <scheme val="minor"/>
    </font>
    <font>
      <b/>
      <sz val="16"/>
      <color theme="1"/>
      <name val="Times New Roman"/>
      <family val="1"/>
    </font>
    <font>
      <b/>
      <sz val="14"/>
      <color theme="1"/>
      <name val="Times New Roman"/>
      <family val="1"/>
    </font>
    <font>
      <b/>
      <sz val="11"/>
      <name val="Times New Roman"/>
      <family val="1"/>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9"/>
        <bgColor indexed="64"/>
      </patternFill>
    </fill>
    <fill>
      <patternFill patternType="solid">
        <fgColor theme="7"/>
        <bgColor indexed="64"/>
      </patternFill>
    </fill>
    <fill>
      <patternFill patternType="solid">
        <fgColor rgb="FFFFFF00"/>
        <bgColor indexed="64"/>
      </patternFill>
    </fill>
    <fill>
      <patternFill patternType="solid">
        <fgColor theme="8" tint="0.79998168889431442"/>
        <bgColor indexed="64"/>
      </patternFill>
    </fill>
    <fill>
      <patternFill patternType="solid">
        <fgColor theme="9" tint="0.79998168889431442"/>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46">
    <xf numFmtId="0" fontId="0" fillId="0" borderId="0" xfId="0"/>
    <xf numFmtId="0" fontId="0" fillId="0" borderId="10" xfId="0" applyBorder="1"/>
    <xf numFmtId="0" fontId="0" fillId="34" borderId="0" xfId="0" applyFill="1"/>
    <xf numFmtId="0" fontId="21" fillId="0" borderId="0" xfId="0" applyFont="1"/>
    <xf numFmtId="0" fontId="0" fillId="0" borderId="15" xfId="0" applyBorder="1"/>
    <xf numFmtId="0" fontId="0" fillId="0" borderId="19" xfId="0" applyBorder="1"/>
    <xf numFmtId="0" fontId="0" fillId="0" borderId="20" xfId="0" applyBorder="1"/>
    <xf numFmtId="0" fontId="0" fillId="34" borderId="19" xfId="0" applyFill="1" applyBorder="1"/>
    <xf numFmtId="0" fontId="0" fillId="34" borderId="20" xfId="0" applyFill="1" applyBorder="1"/>
    <xf numFmtId="0" fontId="0" fillId="0" borderId="21" xfId="0" applyBorder="1"/>
    <xf numFmtId="0" fontId="0" fillId="0" borderId="22" xfId="0" applyBorder="1"/>
    <xf numFmtId="0" fontId="19" fillId="0" borderId="0" xfId="0" applyFont="1"/>
    <xf numFmtId="0" fontId="0" fillId="0" borderId="0" xfId="0" applyAlignment="1">
      <alignment wrapText="1"/>
    </xf>
    <xf numFmtId="0" fontId="19" fillId="0" borderId="11" xfId="0" applyFont="1" applyBorder="1"/>
    <xf numFmtId="0" fontId="19" fillId="0" borderId="12" xfId="0" applyFont="1" applyBorder="1"/>
    <xf numFmtId="0" fontId="19" fillId="0" borderId="25" xfId="0" applyFont="1" applyBorder="1"/>
    <xf numFmtId="0" fontId="22" fillId="34" borderId="16" xfId="0" applyFont="1" applyFill="1" applyBorder="1" applyAlignment="1">
      <alignment horizontal="centerContinuous"/>
    </xf>
    <xf numFmtId="0" fontId="22" fillId="34" borderId="16" xfId="0" applyFont="1" applyFill="1" applyBorder="1" applyAlignment="1">
      <alignment horizontal="center"/>
    </xf>
    <xf numFmtId="0" fontId="21" fillId="0" borderId="10" xfId="0" applyFont="1" applyBorder="1" applyAlignment="1">
      <alignment horizontal="center" vertical="center" wrapText="1"/>
    </xf>
    <xf numFmtId="0" fontId="21" fillId="0" borderId="10" xfId="0" applyFont="1" applyBorder="1" applyAlignment="1">
      <alignment vertical="center" wrapText="1"/>
    </xf>
    <xf numFmtId="0" fontId="19" fillId="0" borderId="10" xfId="0" applyFont="1" applyBorder="1" applyAlignment="1">
      <alignment vertical="center" wrapText="1"/>
    </xf>
    <xf numFmtId="0" fontId="21" fillId="34" borderId="0" xfId="0" applyFont="1" applyFill="1" applyAlignment="1">
      <alignment vertical="center"/>
    </xf>
    <xf numFmtId="0" fontId="19" fillId="34" borderId="0" xfId="0" applyFont="1" applyFill="1"/>
    <xf numFmtId="0" fontId="20" fillId="33" borderId="10" xfId="0" applyFont="1" applyFill="1" applyBorder="1" applyAlignment="1">
      <alignment horizontal="left"/>
    </xf>
    <xf numFmtId="0" fontId="18" fillId="0" borderId="0" xfId="42" applyAlignment="1">
      <alignment horizontal="center"/>
    </xf>
    <xf numFmtId="0" fontId="0" fillId="0" borderId="0" xfId="0" applyAlignment="1">
      <alignment horizontal="center"/>
    </xf>
    <xf numFmtId="0" fontId="21" fillId="34" borderId="11" xfId="0" applyFont="1" applyFill="1" applyBorder="1" applyAlignment="1">
      <alignment horizontal="center"/>
    </xf>
    <xf numFmtId="0" fontId="21" fillId="34" borderId="12" xfId="0" applyFont="1" applyFill="1" applyBorder="1" applyAlignment="1">
      <alignment horizontal="center"/>
    </xf>
    <xf numFmtId="0" fontId="21" fillId="34" borderId="13" xfId="0" applyFont="1" applyFill="1" applyBorder="1" applyAlignment="1">
      <alignment horizontal="center"/>
    </xf>
    <xf numFmtId="0" fontId="21" fillId="35" borderId="10" xfId="0" applyFont="1" applyFill="1" applyBorder="1" applyAlignment="1">
      <alignment horizontal="center"/>
    </xf>
    <xf numFmtId="0" fontId="21" fillId="35" borderId="17" xfId="0" applyFont="1" applyFill="1" applyBorder="1" applyAlignment="1">
      <alignment horizontal="center"/>
    </xf>
    <xf numFmtId="0" fontId="21" fillId="35" borderId="18" xfId="0" applyFont="1" applyFill="1" applyBorder="1" applyAlignment="1">
      <alignment horizontal="center"/>
    </xf>
    <xf numFmtId="0" fontId="19" fillId="38" borderId="10" xfId="0" applyFont="1" applyFill="1" applyBorder="1" applyAlignment="1">
      <alignment horizontal="left" wrapText="1"/>
    </xf>
    <xf numFmtId="0" fontId="19" fillId="38" borderId="10" xfId="0" applyFont="1" applyFill="1" applyBorder="1" applyAlignment="1">
      <alignment horizontal="left"/>
    </xf>
    <xf numFmtId="0" fontId="19" fillId="36" borderId="23" xfId="0" applyFont="1" applyFill="1" applyBorder="1" applyAlignment="1">
      <alignment horizontal="center"/>
    </xf>
    <xf numFmtId="0" fontId="19" fillId="36" borderId="14" xfId="0" applyFont="1" applyFill="1" applyBorder="1" applyAlignment="1">
      <alignment horizontal="center"/>
    </xf>
    <xf numFmtId="0" fontId="19" fillId="36" borderId="24" xfId="0" applyFont="1" applyFill="1" applyBorder="1" applyAlignment="1">
      <alignment horizontal="center"/>
    </xf>
    <xf numFmtId="0" fontId="0" fillId="38" borderId="10" xfId="0" applyFill="1" applyBorder="1" applyAlignment="1">
      <alignment horizontal="center" wrapText="1"/>
    </xf>
    <xf numFmtId="0" fontId="24" fillId="36" borderId="10" xfId="0" applyFont="1" applyFill="1" applyBorder="1" applyAlignment="1">
      <alignment horizontal="center"/>
    </xf>
    <xf numFmtId="0" fontId="21" fillId="36" borderId="10" xfId="0" applyFont="1" applyFill="1" applyBorder="1" applyAlignment="1">
      <alignment horizontal="center"/>
    </xf>
    <xf numFmtId="0" fontId="19" fillId="37" borderId="10" xfId="0" applyFont="1" applyFill="1" applyBorder="1" applyAlignment="1">
      <alignment horizontal="left" wrapText="1"/>
    </xf>
    <xf numFmtId="0" fontId="19" fillId="37" borderId="10" xfId="0" applyFont="1" applyFill="1" applyBorder="1" applyAlignment="1">
      <alignment horizontal="left"/>
    </xf>
    <xf numFmtId="0" fontId="0" fillId="37" borderId="10" xfId="0" applyFill="1" applyBorder="1" applyAlignment="1">
      <alignment horizontal="left" wrapText="1"/>
    </xf>
    <xf numFmtId="0" fontId="0" fillId="37" borderId="10" xfId="0" applyFill="1" applyBorder="1" applyAlignment="1">
      <alignment horizontal="left"/>
    </xf>
    <xf numFmtId="0" fontId="0" fillId="37" borderId="10" xfId="0" applyFill="1" applyBorder="1" applyAlignment="1">
      <alignment horizontal="center" wrapText="1"/>
    </xf>
    <xf numFmtId="0" fontId="23" fillId="34" borderId="10" xfId="0" applyFont="1" applyFill="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Actual Sales VS Predicted Sales</a:t>
            </a:r>
          </a:p>
        </c:rich>
      </c:tx>
      <c:layout>
        <c:manualLayout>
          <c:xMode val="edge"/>
          <c:yMode val="edge"/>
          <c:x val="0.18936111111111112"/>
          <c:y val="4.629629629629629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8.2726815398075235E-2"/>
          <c:y val="0.17171296296296298"/>
          <c:w val="0.90286351706036749"/>
          <c:h val="0.60250765529308836"/>
        </c:manualLayout>
      </c:layout>
      <c:lineChart>
        <c:grouping val="stacked"/>
        <c:varyColors val="0"/>
        <c:ser>
          <c:idx val="0"/>
          <c:order val="0"/>
          <c:tx>
            <c:strRef>
              <c:f>DataSet!$D$1</c:f>
              <c:strCache>
                <c:ptCount val="1"/>
                <c:pt idx="0">
                  <c:v> Actual Sales ($)</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DataSet!$D$2:$D$201</c:f>
              <c:numCache>
                <c:formatCode>General</c:formatCode>
                <c:ptCount val="200"/>
                <c:pt idx="0">
                  <c:v>22.1</c:v>
                </c:pt>
                <c:pt idx="1">
                  <c:v>10.4</c:v>
                </c:pt>
                <c:pt idx="2">
                  <c:v>9.3000000000000007</c:v>
                </c:pt>
                <c:pt idx="3">
                  <c:v>18.5</c:v>
                </c:pt>
                <c:pt idx="4">
                  <c:v>12.9</c:v>
                </c:pt>
                <c:pt idx="5">
                  <c:v>7.2</c:v>
                </c:pt>
                <c:pt idx="6">
                  <c:v>11.8</c:v>
                </c:pt>
                <c:pt idx="7">
                  <c:v>13.2</c:v>
                </c:pt>
                <c:pt idx="8">
                  <c:v>4.8</c:v>
                </c:pt>
                <c:pt idx="9">
                  <c:v>10.6</c:v>
                </c:pt>
                <c:pt idx="10">
                  <c:v>8.6</c:v>
                </c:pt>
                <c:pt idx="11">
                  <c:v>17.399999999999999</c:v>
                </c:pt>
                <c:pt idx="12">
                  <c:v>9.1999999999999993</c:v>
                </c:pt>
                <c:pt idx="13">
                  <c:v>9.6999999999999993</c:v>
                </c:pt>
                <c:pt idx="14">
                  <c:v>19</c:v>
                </c:pt>
                <c:pt idx="15">
                  <c:v>22.4</c:v>
                </c:pt>
                <c:pt idx="16">
                  <c:v>12.5</c:v>
                </c:pt>
                <c:pt idx="17">
                  <c:v>24.4</c:v>
                </c:pt>
                <c:pt idx="18">
                  <c:v>11.3</c:v>
                </c:pt>
                <c:pt idx="19">
                  <c:v>14.6</c:v>
                </c:pt>
                <c:pt idx="20">
                  <c:v>18</c:v>
                </c:pt>
                <c:pt idx="21">
                  <c:v>12.5</c:v>
                </c:pt>
                <c:pt idx="22">
                  <c:v>5.6</c:v>
                </c:pt>
                <c:pt idx="23">
                  <c:v>15.5</c:v>
                </c:pt>
                <c:pt idx="24">
                  <c:v>9.6999999999999993</c:v>
                </c:pt>
                <c:pt idx="25">
                  <c:v>12</c:v>
                </c:pt>
                <c:pt idx="26">
                  <c:v>15</c:v>
                </c:pt>
                <c:pt idx="27">
                  <c:v>15.9</c:v>
                </c:pt>
                <c:pt idx="28">
                  <c:v>18.899999999999999</c:v>
                </c:pt>
                <c:pt idx="29">
                  <c:v>10.5</c:v>
                </c:pt>
                <c:pt idx="30">
                  <c:v>21.4</c:v>
                </c:pt>
                <c:pt idx="31">
                  <c:v>11.9</c:v>
                </c:pt>
                <c:pt idx="32">
                  <c:v>9.6</c:v>
                </c:pt>
                <c:pt idx="33">
                  <c:v>17.399999999999999</c:v>
                </c:pt>
                <c:pt idx="34">
                  <c:v>9.5</c:v>
                </c:pt>
                <c:pt idx="35">
                  <c:v>12.8</c:v>
                </c:pt>
                <c:pt idx="36">
                  <c:v>25.4</c:v>
                </c:pt>
                <c:pt idx="37">
                  <c:v>14.7</c:v>
                </c:pt>
                <c:pt idx="38">
                  <c:v>10.1</c:v>
                </c:pt>
                <c:pt idx="39">
                  <c:v>21.5</c:v>
                </c:pt>
                <c:pt idx="40">
                  <c:v>16.600000000000001</c:v>
                </c:pt>
                <c:pt idx="41">
                  <c:v>17.100000000000001</c:v>
                </c:pt>
                <c:pt idx="42">
                  <c:v>20.7</c:v>
                </c:pt>
                <c:pt idx="43">
                  <c:v>12.9</c:v>
                </c:pt>
                <c:pt idx="44">
                  <c:v>8.5</c:v>
                </c:pt>
                <c:pt idx="45">
                  <c:v>14.9</c:v>
                </c:pt>
                <c:pt idx="46">
                  <c:v>10.6</c:v>
                </c:pt>
                <c:pt idx="47">
                  <c:v>23.2</c:v>
                </c:pt>
                <c:pt idx="48">
                  <c:v>14.8</c:v>
                </c:pt>
                <c:pt idx="49">
                  <c:v>9.6999999999999993</c:v>
                </c:pt>
                <c:pt idx="50">
                  <c:v>11.4</c:v>
                </c:pt>
                <c:pt idx="51">
                  <c:v>10.7</c:v>
                </c:pt>
                <c:pt idx="52">
                  <c:v>22.6</c:v>
                </c:pt>
                <c:pt idx="53">
                  <c:v>21.2</c:v>
                </c:pt>
                <c:pt idx="54">
                  <c:v>20.2</c:v>
                </c:pt>
                <c:pt idx="55">
                  <c:v>23.7</c:v>
                </c:pt>
                <c:pt idx="56">
                  <c:v>5.5</c:v>
                </c:pt>
                <c:pt idx="57">
                  <c:v>13.2</c:v>
                </c:pt>
                <c:pt idx="58">
                  <c:v>23.8</c:v>
                </c:pt>
                <c:pt idx="59">
                  <c:v>18.399999999999999</c:v>
                </c:pt>
                <c:pt idx="60">
                  <c:v>8.1</c:v>
                </c:pt>
                <c:pt idx="61">
                  <c:v>24.2</c:v>
                </c:pt>
                <c:pt idx="62">
                  <c:v>15.7</c:v>
                </c:pt>
                <c:pt idx="63">
                  <c:v>14</c:v>
                </c:pt>
                <c:pt idx="64">
                  <c:v>18</c:v>
                </c:pt>
                <c:pt idx="65">
                  <c:v>9.3000000000000007</c:v>
                </c:pt>
                <c:pt idx="66">
                  <c:v>9.5</c:v>
                </c:pt>
                <c:pt idx="67">
                  <c:v>13.4</c:v>
                </c:pt>
                <c:pt idx="68">
                  <c:v>18.899999999999999</c:v>
                </c:pt>
                <c:pt idx="69">
                  <c:v>22.3</c:v>
                </c:pt>
                <c:pt idx="70">
                  <c:v>18.3</c:v>
                </c:pt>
                <c:pt idx="71">
                  <c:v>12.4</c:v>
                </c:pt>
                <c:pt idx="72">
                  <c:v>8.8000000000000007</c:v>
                </c:pt>
                <c:pt idx="73">
                  <c:v>11</c:v>
                </c:pt>
                <c:pt idx="74">
                  <c:v>17</c:v>
                </c:pt>
                <c:pt idx="75">
                  <c:v>8.6999999999999993</c:v>
                </c:pt>
                <c:pt idx="76">
                  <c:v>6.9</c:v>
                </c:pt>
                <c:pt idx="77">
                  <c:v>14.2</c:v>
                </c:pt>
                <c:pt idx="78">
                  <c:v>5.3</c:v>
                </c:pt>
                <c:pt idx="79">
                  <c:v>11</c:v>
                </c:pt>
                <c:pt idx="80">
                  <c:v>11.8</c:v>
                </c:pt>
                <c:pt idx="81">
                  <c:v>12.3</c:v>
                </c:pt>
                <c:pt idx="82">
                  <c:v>11.3</c:v>
                </c:pt>
                <c:pt idx="83">
                  <c:v>13.6</c:v>
                </c:pt>
                <c:pt idx="84">
                  <c:v>21.7</c:v>
                </c:pt>
                <c:pt idx="85">
                  <c:v>15.2</c:v>
                </c:pt>
                <c:pt idx="86">
                  <c:v>12</c:v>
                </c:pt>
                <c:pt idx="87">
                  <c:v>16</c:v>
                </c:pt>
                <c:pt idx="88">
                  <c:v>12.9</c:v>
                </c:pt>
                <c:pt idx="89">
                  <c:v>16.7</c:v>
                </c:pt>
                <c:pt idx="90">
                  <c:v>11.2</c:v>
                </c:pt>
                <c:pt idx="91">
                  <c:v>7.3</c:v>
                </c:pt>
                <c:pt idx="92">
                  <c:v>19.399999999999999</c:v>
                </c:pt>
                <c:pt idx="93">
                  <c:v>22.2</c:v>
                </c:pt>
                <c:pt idx="94">
                  <c:v>11.5</c:v>
                </c:pt>
                <c:pt idx="95">
                  <c:v>16.899999999999999</c:v>
                </c:pt>
                <c:pt idx="96">
                  <c:v>11.7</c:v>
                </c:pt>
                <c:pt idx="97">
                  <c:v>15.5</c:v>
                </c:pt>
                <c:pt idx="98">
                  <c:v>25.4</c:v>
                </c:pt>
                <c:pt idx="99">
                  <c:v>17.2</c:v>
                </c:pt>
                <c:pt idx="100">
                  <c:v>11.7</c:v>
                </c:pt>
                <c:pt idx="101">
                  <c:v>23.8</c:v>
                </c:pt>
                <c:pt idx="102">
                  <c:v>14.8</c:v>
                </c:pt>
                <c:pt idx="103">
                  <c:v>14.7</c:v>
                </c:pt>
                <c:pt idx="104">
                  <c:v>20.7</c:v>
                </c:pt>
                <c:pt idx="105">
                  <c:v>19.2</c:v>
                </c:pt>
                <c:pt idx="106">
                  <c:v>7.2</c:v>
                </c:pt>
                <c:pt idx="107">
                  <c:v>8.6999999999999993</c:v>
                </c:pt>
                <c:pt idx="108">
                  <c:v>5.3</c:v>
                </c:pt>
                <c:pt idx="109">
                  <c:v>19.8</c:v>
                </c:pt>
                <c:pt idx="110">
                  <c:v>13.4</c:v>
                </c:pt>
                <c:pt idx="111">
                  <c:v>21.8</c:v>
                </c:pt>
                <c:pt idx="112">
                  <c:v>14.1</c:v>
                </c:pt>
                <c:pt idx="113">
                  <c:v>15.9</c:v>
                </c:pt>
                <c:pt idx="114">
                  <c:v>14.6</c:v>
                </c:pt>
                <c:pt idx="115">
                  <c:v>12.6</c:v>
                </c:pt>
                <c:pt idx="116">
                  <c:v>12.2</c:v>
                </c:pt>
                <c:pt idx="117">
                  <c:v>9.4</c:v>
                </c:pt>
                <c:pt idx="118">
                  <c:v>15.9</c:v>
                </c:pt>
                <c:pt idx="119">
                  <c:v>6.6</c:v>
                </c:pt>
                <c:pt idx="120">
                  <c:v>15.5</c:v>
                </c:pt>
                <c:pt idx="121">
                  <c:v>7</c:v>
                </c:pt>
                <c:pt idx="122">
                  <c:v>11.6</c:v>
                </c:pt>
                <c:pt idx="123">
                  <c:v>15.2</c:v>
                </c:pt>
                <c:pt idx="124">
                  <c:v>19.7</c:v>
                </c:pt>
                <c:pt idx="125">
                  <c:v>10.6</c:v>
                </c:pt>
                <c:pt idx="126">
                  <c:v>6.6</c:v>
                </c:pt>
                <c:pt idx="127">
                  <c:v>8.8000000000000007</c:v>
                </c:pt>
                <c:pt idx="128">
                  <c:v>24.7</c:v>
                </c:pt>
                <c:pt idx="129">
                  <c:v>9.6999999999999993</c:v>
                </c:pt>
                <c:pt idx="130">
                  <c:v>1.6</c:v>
                </c:pt>
                <c:pt idx="131">
                  <c:v>12.7</c:v>
                </c:pt>
                <c:pt idx="132">
                  <c:v>5.7</c:v>
                </c:pt>
                <c:pt idx="133">
                  <c:v>19.600000000000001</c:v>
                </c:pt>
                <c:pt idx="134">
                  <c:v>10.8</c:v>
                </c:pt>
                <c:pt idx="135">
                  <c:v>11.6</c:v>
                </c:pt>
                <c:pt idx="136">
                  <c:v>9.5</c:v>
                </c:pt>
                <c:pt idx="137">
                  <c:v>20.8</c:v>
                </c:pt>
                <c:pt idx="138">
                  <c:v>9.6</c:v>
                </c:pt>
                <c:pt idx="139">
                  <c:v>20.7</c:v>
                </c:pt>
                <c:pt idx="140">
                  <c:v>10.9</c:v>
                </c:pt>
                <c:pt idx="141">
                  <c:v>19.2</c:v>
                </c:pt>
                <c:pt idx="142">
                  <c:v>20.100000000000001</c:v>
                </c:pt>
                <c:pt idx="143">
                  <c:v>10.4</c:v>
                </c:pt>
                <c:pt idx="144">
                  <c:v>11.4</c:v>
                </c:pt>
                <c:pt idx="145">
                  <c:v>10.3</c:v>
                </c:pt>
                <c:pt idx="146">
                  <c:v>13.2</c:v>
                </c:pt>
                <c:pt idx="147">
                  <c:v>25.4</c:v>
                </c:pt>
                <c:pt idx="148">
                  <c:v>10.9</c:v>
                </c:pt>
                <c:pt idx="149">
                  <c:v>10.1</c:v>
                </c:pt>
                <c:pt idx="150">
                  <c:v>16.100000000000001</c:v>
                </c:pt>
                <c:pt idx="151">
                  <c:v>11.6</c:v>
                </c:pt>
                <c:pt idx="152">
                  <c:v>16.600000000000001</c:v>
                </c:pt>
                <c:pt idx="153">
                  <c:v>19</c:v>
                </c:pt>
                <c:pt idx="154">
                  <c:v>15.6</c:v>
                </c:pt>
                <c:pt idx="155">
                  <c:v>3.2</c:v>
                </c:pt>
                <c:pt idx="156">
                  <c:v>15.3</c:v>
                </c:pt>
                <c:pt idx="157">
                  <c:v>10.1</c:v>
                </c:pt>
                <c:pt idx="158">
                  <c:v>7.3</c:v>
                </c:pt>
                <c:pt idx="159">
                  <c:v>12.9</c:v>
                </c:pt>
                <c:pt idx="160">
                  <c:v>14.4</c:v>
                </c:pt>
                <c:pt idx="161">
                  <c:v>13.3</c:v>
                </c:pt>
                <c:pt idx="162">
                  <c:v>14.9</c:v>
                </c:pt>
                <c:pt idx="163">
                  <c:v>18</c:v>
                </c:pt>
                <c:pt idx="164">
                  <c:v>11.9</c:v>
                </c:pt>
                <c:pt idx="165">
                  <c:v>11.9</c:v>
                </c:pt>
                <c:pt idx="166">
                  <c:v>8</c:v>
                </c:pt>
                <c:pt idx="167">
                  <c:v>12.2</c:v>
                </c:pt>
                <c:pt idx="168">
                  <c:v>17.100000000000001</c:v>
                </c:pt>
                <c:pt idx="169">
                  <c:v>15</c:v>
                </c:pt>
                <c:pt idx="170">
                  <c:v>8.4</c:v>
                </c:pt>
                <c:pt idx="171">
                  <c:v>14.5</c:v>
                </c:pt>
                <c:pt idx="172">
                  <c:v>7.6</c:v>
                </c:pt>
                <c:pt idx="173">
                  <c:v>11.7</c:v>
                </c:pt>
                <c:pt idx="174">
                  <c:v>11.5</c:v>
                </c:pt>
                <c:pt idx="175">
                  <c:v>27</c:v>
                </c:pt>
                <c:pt idx="176">
                  <c:v>20.2</c:v>
                </c:pt>
                <c:pt idx="177">
                  <c:v>11.7</c:v>
                </c:pt>
                <c:pt idx="178">
                  <c:v>11.8</c:v>
                </c:pt>
                <c:pt idx="179">
                  <c:v>12.6</c:v>
                </c:pt>
                <c:pt idx="180">
                  <c:v>10.5</c:v>
                </c:pt>
                <c:pt idx="181">
                  <c:v>12.2</c:v>
                </c:pt>
                <c:pt idx="182">
                  <c:v>8.6999999999999993</c:v>
                </c:pt>
                <c:pt idx="183">
                  <c:v>26.2</c:v>
                </c:pt>
                <c:pt idx="184">
                  <c:v>17.600000000000001</c:v>
                </c:pt>
                <c:pt idx="185">
                  <c:v>22.6</c:v>
                </c:pt>
                <c:pt idx="186">
                  <c:v>10.3</c:v>
                </c:pt>
                <c:pt idx="187">
                  <c:v>17.3</c:v>
                </c:pt>
                <c:pt idx="188">
                  <c:v>15.9</c:v>
                </c:pt>
                <c:pt idx="189">
                  <c:v>6.7</c:v>
                </c:pt>
                <c:pt idx="190">
                  <c:v>10.8</c:v>
                </c:pt>
                <c:pt idx="191">
                  <c:v>9.9</c:v>
                </c:pt>
                <c:pt idx="192">
                  <c:v>5.9</c:v>
                </c:pt>
                <c:pt idx="193">
                  <c:v>19.600000000000001</c:v>
                </c:pt>
                <c:pt idx="194">
                  <c:v>17.3</c:v>
                </c:pt>
                <c:pt idx="195">
                  <c:v>7.6</c:v>
                </c:pt>
                <c:pt idx="196">
                  <c:v>9.6999999999999993</c:v>
                </c:pt>
                <c:pt idx="197">
                  <c:v>12.8</c:v>
                </c:pt>
                <c:pt idx="198">
                  <c:v>25.5</c:v>
                </c:pt>
                <c:pt idx="199">
                  <c:v>13.4</c:v>
                </c:pt>
              </c:numCache>
            </c:numRef>
          </c:val>
          <c:smooth val="0"/>
          <c:extLst>
            <c:ext xmlns:c16="http://schemas.microsoft.com/office/drawing/2014/chart" uri="{C3380CC4-5D6E-409C-BE32-E72D297353CC}">
              <c16:uniqueId val="{00000000-C3A4-4405-B270-5DEB59816D18}"/>
            </c:ext>
          </c:extLst>
        </c:ser>
        <c:dLbls>
          <c:showLegendKey val="0"/>
          <c:showVal val="0"/>
          <c:showCatName val="0"/>
          <c:showSerName val="0"/>
          <c:showPercent val="0"/>
          <c:showBubbleSize val="0"/>
        </c:dLbls>
        <c:marker val="1"/>
        <c:smooth val="0"/>
        <c:axId val="130144607"/>
        <c:axId val="130145855"/>
      </c:lineChart>
      <c:scatterChart>
        <c:scatterStyle val="lineMarker"/>
        <c:varyColors val="0"/>
        <c:ser>
          <c:idx val="1"/>
          <c:order val="1"/>
          <c:tx>
            <c:strRef>
              <c:f>DataSet!$E$1</c:f>
              <c:strCache>
                <c:ptCount val="1"/>
                <c:pt idx="0">
                  <c:v>Predicted sales</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trendline>
            <c:spPr>
              <a:ln w="19050" cap="rnd">
                <a:solidFill>
                  <a:schemeClr val="accent2"/>
                </a:solidFill>
              </a:ln>
              <a:effectLst/>
            </c:spPr>
            <c:trendlineType val="linear"/>
            <c:dispRSqr val="1"/>
            <c:dispEq val="1"/>
            <c:trendlineLbl>
              <c:layout>
                <c:manualLayout>
                  <c:x val="-6.1194225721784776E-2"/>
                  <c:y val="-0.3040806357538641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rendlineLbl>
          </c:trendline>
          <c:yVal>
            <c:numRef>
              <c:f>DataSet!$E$2:$E$201</c:f>
              <c:numCache>
                <c:formatCode>General</c:formatCode>
                <c:ptCount val="200"/>
                <c:pt idx="0">
                  <c:v>20.523986090000001</c:v>
                </c:pt>
                <c:pt idx="1">
                  <c:v>12.33786566</c:v>
                </c:pt>
                <c:pt idx="2">
                  <c:v>12.307681499999999</c:v>
                </c:pt>
                <c:pt idx="3">
                  <c:v>17.59784084</c:v>
                </c:pt>
                <c:pt idx="4">
                  <c:v>13.18868331</c:v>
                </c:pt>
                <c:pt idx="5">
                  <c:v>12.478358310000001</c:v>
                </c:pt>
                <c:pt idx="6">
                  <c:v>11.72977085</c:v>
                </c:pt>
                <c:pt idx="7">
                  <c:v>12.122964339999999</c:v>
                </c:pt>
                <c:pt idx="8">
                  <c:v>3.7273515330000002</c:v>
                </c:pt>
                <c:pt idx="9">
                  <c:v>12.55086026</c:v>
                </c:pt>
                <c:pt idx="10">
                  <c:v>7.0323101330000002</c:v>
                </c:pt>
                <c:pt idx="11">
                  <c:v>17.28514079</c:v>
                </c:pt>
                <c:pt idx="12">
                  <c:v>10.57713148</c:v>
                </c:pt>
                <c:pt idx="13">
                  <c:v>8.8263115550000002</c:v>
                </c:pt>
                <c:pt idx="14">
                  <c:v>18.434377949999998</c:v>
                </c:pt>
                <c:pt idx="15">
                  <c:v>20.819311039999999</c:v>
                </c:pt>
                <c:pt idx="16">
                  <c:v>12.823667690000001</c:v>
                </c:pt>
                <c:pt idx="17">
                  <c:v>23.22496907</c:v>
                </c:pt>
                <c:pt idx="18">
                  <c:v>9.9516930069999994</c:v>
                </c:pt>
                <c:pt idx="19">
                  <c:v>14.16608424</c:v>
                </c:pt>
                <c:pt idx="20">
                  <c:v>18.100778900000002</c:v>
                </c:pt>
                <c:pt idx="21">
                  <c:v>14.74054991</c:v>
                </c:pt>
                <c:pt idx="22">
                  <c:v>6.489160998</c:v>
                </c:pt>
                <c:pt idx="23">
                  <c:v>16.54594457</c:v>
                </c:pt>
                <c:pt idx="24">
                  <c:v>8.1465297870000004</c:v>
                </c:pt>
                <c:pt idx="25">
                  <c:v>15.610050429999999</c:v>
                </c:pt>
                <c:pt idx="26">
                  <c:v>14.98952557</c:v>
                </c:pt>
                <c:pt idx="27">
                  <c:v>17.051685160000002</c:v>
                </c:pt>
                <c:pt idx="28">
                  <c:v>19.410549790000001</c:v>
                </c:pt>
                <c:pt idx="29">
                  <c:v>9.1440348480000004</c:v>
                </c:pt>
                <c:pt idx="30">
                  <c:v>21.63394577</c:v>
                </c:pt>
                <c:pt idx="31">
                  <c:v>11.346104049999999</c:v>
                </c:pt>
                <c:pt idx="32">
                  <c:v>7.6388942159999997</c:v>
                </c:pt>
                <c:pt idx="33">
                  <c:v>18.864280130000001</c:v>
                </c:pt>
                <c:pt idx="34">
                  <c:v>7.5748415810000003</c:v>
                </c:pt>
                <c:pt idx="35">
                  <c:v>17.006838129999998</c:v>
                </c:pt>
                <c:pt idx="36">
                  <c:v>23.405912359999999</c:v>
                </c:pt>
                <c:pt idx="37">
                  <c:v>15.623488760000001</c:v>
                </c:pt>
                <c:pt idx="38">
                  <c:v>9.9086918649999998</c:v>
                </c:pt>
                <c:pt idx="39">
                  <c:v>20.44762206</c:v>
                </c:pt>
                <c:pt idx="40">
                  <c:v>16.377676229999999</c:v>
                </c:pt>
                <c:pt idx="41">
                  <c:v>17.29599464</c:v>
                </c:pt>
                <c:pt idx="42">
                  <c:v>21.595815219999999</c:v>
                </c:pt>
                <c:pt idx="43">
                  <c:v>13.96386841</c:v>
                </c:pt>
                <c:pt idx="44">
                  <c:v>8.8878907050000002</c:v>
                </c:pt>
                <c:pt idx="45">
                  <c:v>15.161534570000001</c:v>
                </c:pt>
                <c:pt idx="46">
                  <c:v>8.8733977730000007</c:v>
                </c:pt>
                <c:pt idx="47">
                  <c:v>21.722641620000001</c:v>
                </c:pt>
                <c:pt idx="48">
                  <c:v>16.263631849999999</c:v>
                </c:pt>
                <c:pt idx="49">
                  <c:v>8.1681765419999994</c:v>
                </c:pt>
                <c:pt idx="50">
                  <c:v>12.631222859999999</c:v>
                </c:pt>
                <c:pt idx="51">
                  <c:v>9.3398240480000005</c:v>
                </c:pt>
                <c:pt idx="52">
                  <c:v>20.66298725</c:v>
                </c:pt>
                <c:pt idx="53">
                  <c:v>19.944711040000001</c:v>
                </c:pt>
                <c:pt idx="54">
                  <c:v>20.374441910000002</c:v>
                </c:pt>
                <c:pt idx="55">
                  <c:v>21.292622139999999</c:v>
                </c:pt>
                <c:pt idx="56">
                  <c:v>8.5277232129999998</c:v>
                </c:pt>
                <c:pt idx="57">
                  <c:v>12.77459927</c:v>
                </c:pt>
                <c:pt idx="58">
                  <c:v>21.898063579999999</c:v>
                </c:pt>
                <c:pt idx="59">
                  <c:v>18.13349857</c:v>
                </c:pt>
                <c:pt idx="60">
                  <c:v>5.7421664589999999</c:v>
                </c:pt>
                <c:pt idx="61">
                  <c:v>22.890683899999999</c:v>
                </c:pt>
                <c:pt idx="62">
                  <c:v>16.78427245</c:v>
                </c:pt>
                <c:pt idx="63">
                  <c:v>13.21070312</c:v>
                </c:pt>
                <c:pt idx="64">
                  <c:v>16.977746790000001</c:v>
                </c:pt>
                <c:pt idx="65">
                  <c:v>7.8490562639999997</c:v>
                </c:pt>
                <c:pt idx="66">
                  <c:v>9.0160424090000006</c:v>
                </c:pt>
                <c:pt idx="67">
                  <c:v>12.03701856</c:v>
                </c:pt>
                <c:pt idx="68">
                  <c:v>18.976590949999999</c:v>
                </c:pt>
                <c:pt idx="69">
                  <c:v>21.10892406</c:v>
                </c:pt>
                <c:pt idx="70">
                  <c:v>17.779509359999999</c:v>
                </c:pt>
                <c:pt idx="71">
                  <c:v>10.626949290000001</c:v>
                </c:pt>
                <c:pt idx="72">
                  <c:v>10.366859570000001</c:v>
                </c:pt>
                <c:pt idx="73">
                  <c:v>9.9029932760000001</c:v>
                </c:pt>
                <c:pt idx="74">
                  <c:v>17.32932357</c:v>
                </c:pt>
                <c:pt idx="75">
                  <c:v>11.858332450000001</c:v>
                </c:pt>
                <c:pt idx="76">
                  <c:v>4.4775997969999999</c:v>
                </c:pt>
                <c:pt idx="77">
                  <c:v>13.811913410000001</c:v>
                </c:pt>
                <c:pt idx="78">
                  <c:v>8.8133241840000007</c:v>
                </c:pt>
                <c:pt idx="79">
                  <c:v>9.6753144429999995</c:v>
                </c:pt>
                <c:pt idx="80">
                  <c:v>11.445934619999999</c:v>
                </c:pt>
                <c:pt idx="81">
                  <c:v>14.647952650000001</c:v>
                </c:pt>
                <c:pt idx="82">
                  <c:v>10.178418969999999</c:v>
                </c:pt>
                <c:pt idx="83">
                  <c:v>14.421853069999999</c:v>
                </c:pt>
                <c:pt idx="84">
                  <c:v>20.78137624</c:v>
                </c:pt>
                <c:pt idx="85">
                  <c:v>15.181419399999999</c:v>
                </c:pt>
                <c:pt idx="86">
                  <c:v>11.59871837</c:v>
                </c:pt>
                <c:pt idx="87">
                  <c:v>15.593795890000001</c:v>
                </c:pt>
                <c:pt idx="88">
                  <c:v>11.71128204</c:v>
                </c:pt>
                <c:pt idx="89">
                  <c:v>16.922266239999999</c:v>
                </c:pt>
                <c:pt idx="90">
                  <c:v>9.9992408929999996</c:v>
                </c:pt>
                <c:pt idx="91">
                  <c:v>4.4963267470000003</c:v>
                </c:pt>
                <c:pt idx="92">
                  <c:v>19.156407789999999</c:v>
                </c:pt>
                <c:pt idx="93">
                  <c:v>21.227585560000001</c:v>
                </c:pt>
                <c:pt idx="94">
                  <c:v>10.482134970000001</c:v>
                </c:pt>
                <c:pt idx="95">
                  <c:v>16.314932500000001</c:v>
                </c:pt>
                <c:pt idx="96">
                  <c:v>12.635728690000001</c:v>
                </c:pt>
                <c:pt idx="97">
                  <c:v>15.337089300000001</c:v>
                </c:pt>
                <c:pt idx="98">
                  <c:v>24.11861918</c:v>
                </c:pt>
                <c:pt idx="99">
                  <c:v>16.940361459999998</c:v>
                </c:pt>
                <c:pt idx="100">
                  <c:v>13.87597008</c:v>
                </c:pt>
                <c:pt idx="101">
                  <c:v>23.242498829999999</c:v>
                </c:pt>
                <c:pt idx="102">
                  <c:v>17.644105750000001</c:v>
                </c:pt>
                <c:pt idx="103">
                  <c:v>14.762222899999999</c:v>
                </c:pt>
                <c:pt idx="104">
                  <c:v>20.3011205</c:v>
                </c:pt>
                <c:pt idx="105">
                  <c:v>17.936425939999999</c:v>
                </c:pt>
                <c:pt idx="106">
                  <c:v>6.1260328949999998</c:v>
                </c:pt>
                <c:pt idx="107">
                  <c:v>7.1085135279999996</c:v>
                </c:pt>
                <c:pt idx="108">
                  <c:v>3.587269101</c:v>
                </c:pt>
                <c:pt idx="109">
                  <c:v>19.692942859999999</c:v>
                </c:pt>
                <c:pt idx="110">
                  <c:v>14.75988575</c:v>
                </c:pt>
                <c:pt idx="111">
                  <c:v>21.140286710000002</c:v>
                </c:pt>
                <c:pt idx="112">
                  <c:v>13.88062128</c:v>
                </c:pt>
                <c:pt idx="113">
                  <c:v>16.403787820000002</c:v>
                </c:pt>
                <c:pt idx="114">
                  <c:v>15.30510692</c:v>
                </c:pt>
                <c:pt idx="115">
                  <c:v>12.91969993</c:v>
                </c:pt>
                <c:pt idx="116">
                  <c:v>11.9787587</c:v>
                </c:pt>
                <c:pt idx="117">
                  <c:v>6.5707883770000004</c:v>
                </c:pt>
                <c:pt idx="118">
                  <c:v>15.56610469</c:v>
                </c:pt>
                <c:pt idx="119">
                  <c:v>6.8200783879999998</c:v>
                </c:pt>
                <c:pt idx="120">
                  <c:v>14.410117319999999</c:v>
                </c:pt>
                <c:pt idx="121">
                  <c:v>7.838087142</c:v>
                </c:pt>
                <c:pt idx="122">
                  <c:v>13.626468750000001</c:v>
                </c:pt>
                <c:pt idx="123">
                  <c:v>15.082802089999999</c:v>
                </c:pt>
                <c:pt idx="124">
                  <c:v>19.45442474</c:v>
                </c:pt>
                <c:pt idx="125">
                  <c:v>9.1273606120000004</c:v>
                </c:pt>
                <c:pt idx="126">
                  <c:v>10.57718479</c:v>
                </c:pt>
                <c:pt idx="127">
                  <c:v>6.5996799939999997</c:v>
                </c:pt>
                <c:pt idx="128">
                  <c:v>22.25550325</c:v>
                </c:pt>
                <c:pt idx="129">
                  <c:v>7.8841173959999997</c:v>
                </c:pt>
                <c:pt idx="130">
                  <c:v>10.427697739999999</c:v>
                </c:pt>
                <c:pt idx="131">
                  <c:v>15.57781003</c:v>
                </c:pt>
                <c:pt idx="132">
                  <c:v>8.4491607870000003</c:v>
                </c:pt>
                <c:pt idx="133">
                  <c:v>19.266934710000001</c:v>
                </c:pt>
                <c:pt idx="134">
                  <c:v>11.8368147</c:v>
                </c:pt>
                <c:pt idx="135">
                  <c:v>14.001424699999999</c:v>
                </c:pt>
                <c:pt idx="136">
                  <c:v>11.45349702</c:v>
                </c:pt>
                <c:pt idx="137">
                  <c:v>20.85126386</c:v>
                </c:pt>
                <c:pt idx="138">
                  <c:v>9.7684387840000007</c:v>
                </c:pt>
                <c:pt idx="139">
                  <c:v>19.675487789999998</c:v>
                </c:pt>
                <c:pt idx="140">
                  <c:v>9.4896519389999998</c:v>
                </c:pt>
                <c:pt idx="141">
                  <c:v>18.399040840000001</c:v>
                </c:pt>
                <c:pt idx="142">
                  <c:v>19.249880900000001</c:v>
                </c:pt>
                <c:pt idx="143">
                  <c:v>8.764813728</c:v>
                </c:pt>
                <c:pt idx="144">
                  <c:v>10.0913451</c:v>
                </c:pt>
                <c:pt idx="145">
                  <c:v>9.7085499899999999</c:v>
                </c:pt>
                <c:pt idx="146">
                  <c:v>15.2942354</c:v>
                </c:pt>
                <c:pt idx="147">
                  <c:v>23.260872769999999</c:v>
                </c:pt>
                <c:pt idx="148">
                  <c:v>12.263370220000001</c:v>
                </c:pt>
                <c:pt idx="149">
                  <c:v>9.8272819380000005</c:v>
                </c:pt>
                <c:pt idx="150">
                  <c:v>18.367217249999999</c:v>
                </c:pt>
                <c:pt idx="151">
                  <c:v>10.009548880000001</c:v>
                </c:pt>
                <c:pt idx="152">
                  <c:v>16.360011839999999</c:v>
                </c:pt>
                <c:pt idx="153">
                  <c:v>18.223912729999999</c:v>
                </c:pt>
                <c:pt idx="154">
                  <c:v>15.50162845</c:v>
                </c:pt>
                <c:pt idx="155">
                  <c:v>5.3075695520000004</c:v>
                </c:pt>
                <c:pt idx="156">
                  <c:v>15.384862979999999</c:v>
                </c:pt>
                <c:pt idx="157">
                  <c:v>10.01432251</c:v>
                </c:pt>
                <c:pt idx="158">
                  <c:v>10.384209350000001</c:v>
                </c:pt>
                <c:pt idx="159">
                  <c:v>12.39915946</c:v>
                </c:pt>
                <c:pt idx="160">
                  <c:v>14.213844399999999</c:v>
                </c:pt>
                <c:pt idx="161">
                  <c:v>13.55915671</c:v>
                </c:pt>
                <c:pt idx="162">
                  <c:v>14.946793550000001</c:v>
                </c:pt>
                <c:pt idx="163">
                  <c:v>17.351647450000002</c:v>
                </c:pt>
                <c:pt idx="164">
                  <c:v>11.06830577</c:v>
                </c:pt>
                <c:pt idx="165">
                  <c:v>14.223733080000001</c:v>
                </c:pt>
                <c:pt idx="166">
                  <c:v>10.82440603</c:v>
                </c:pt>
                <c:pt idx="167">
                  <c:v>13.36325834</c:v>
                </c:pt>
                <c:pt idx="168">
                  <c:v>17.18615441</c:v>
                </c:pt>
                <c:pt idx="169">
                  <c:v>17.941568220000001</c:v>
                </c:pt>
                <c:pt idx="170">
                  <c:v>7.3949908259999999</c:v>
                </c:pt>
                <c:pt idx="171">
                  <c:v>14.358285110000001</c:v>
                </c:pt>
                <c:pt idx="172">
                  <c:v>7.6077031010000002</c:v>
                </c:pt>
                <c:pt idx="173">
                  <c:v>11.970950269999999</c:v>
                </c:pt>
                <c:pt idx="174">
                  <c:v>13.74436906</c:v>
                </c:pt>
                <c:pt idx="175">
                  <c:v>24.786882210000002</c:v>
                </c:pt>
                <c:pt idx="176">
                  <c:v>19.979384469999999</c:v>
                </c:pt>
                <c:pt idx="177">
                  <c:v>12.16205781</c:v>
                </c:pt>
                <c:pt idx="178">
                  <c:v>16.01100911</c:v>
                </c:pt>
                <c:pt idx="179">
                  <c:v>12.38456633</c:v>
                </c:pt>
                <c:pt idx="180">
                  <c:v>10.58721104</c:v>
                </c:pt>
                <c:pt idx="181">
                  <c:v>13.92811081</c:v>
                </c:pt>
                <c:pt idx="182">
                  <c:v>6.5546808849999998</c:v>
                </c:pt>
                <c:pt idx="183">
                  <c:v>24.133112069999999</c:v>
                </c:pt>
                <c:pt idx="184">
                  <c:v>18.538532740000001</c:v>
                </c:pt>
                <c:pt idx="185">
                  <c:v>20.80302215</c:v>
                </c:pt>
                <c:pt idx="186">
                  <c:v>9.6913843970000002</c:v>
                </c:pt>
                <c:pt idx="187">
                  <c:v>17.076453730000001</c:v>
                </c:pt>
                <c:pt idx="188">
                  <c:v>18.64431841</c:v>
                </c:pt>
                <c:pt idx="189">
                  <c:v>6.0516348249999998</c:v>
                </c:pt>
                <c:pt idx="190">
                  <c:v>12.489169909999999</c:v>
                </c:pt>
                <c:pt idx="191">
                  <c:v>8.4240303010000002</c:v>
                </c:pt>
                <c:pt idx="192">
                  <c:v>4.4662402710000002</c:v>
                </c:pt>
                <c:pt idx="193">
                  <c:v>18.48696936</c:v>
                </c:pt>
                <c:pt idx="194">
                  <c:v>16.495311749999999</c:v>
                </c:pt>
                <c:pt idx="195">
                  <c:v>5.3703532899999997</c:v>
                </c:pt>
                <c:pt idx="196">
                  <c:v>8.16532342</c:v>
                </c:pt>
                <c:pt idx="197">
                  <c:v>12.78593225</c:v>
                </c:pt>
                <c:pt idx="198">
                  <c:v>23.76733342</c:v>
                </c:pt>
                <c:pt idx="199">
                  <c:v>15.17320722</c:v>
                </c:pt>
              </c:numCache>
            </c:numRef>
          </c:yVal>
          <c:smooth val="0"/>
          <c:extLst>
            <c:ext xmlns:c16="http://schemas.microsoft.com/office/drawing/2014/chart" uri="{C3380CC4-5D6E-409C-BE32-E72D297353CC}">
              <c16:uniqueId val="{00000001-C3A4-4405-B270-5DEB59816D18}"/>
            </c:ext>
          </c:extLst>
        </c:ser>
        <c:dLbls>
          <c:showLegendKey val="0"/>
          <c:showVal val="0"/>
          <c:showCatName val="0"/>
          <c:showSerName val="0"/>
          <c:showPercent val="0"/>
          <c:showBubbleSize val="0"/>
        </c:dLbls>
        <c:axId val="130144607"/>
        <c:axId val="130145855"/>
      </c:scatterChart>
      <c:catAx>
        <c:axId val="130144607"/>
        <c:scaling>
          <c:orientation val="minMax"/>
        </c:scaling>
        <c:delete val="0"/>
        <c:axPos val="b"/>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145855"/>
        <c:crosses val="autoZero"/>
        <c:auto val="1"/>
        <c:lblAlgn val="ctr"/>
        <c:lblOffset val="100"/>
        <c:noMultiLvlLbl val="0"/>
      </c:catAx>
      <c:valAx>
        <c:axId val="1301458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1446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5</xdr:col>
      <xdr:colOff>247650</xdr:colOff>
      <xdr:row>1</xdr:row>
      <xdr:rowOff>90487</xdr:rowOff>
    </xdr:from>
    <xdr:to>
      <xdr:col>12</xdr:col>
      <xdr:colOff>552450</xdr:colOff>
      <xdr:row>15</xdr:row>
      <xdr:rowOff>166687</xdr:rowOff>
    </xdr:to>
    <xdr:graphicFrame macro="">
      <xdr:nvGraphicFramePr>
        <xdr:cNvPr id="2" name="Chart 1">
          <a:extLst>
            <a:ext uri="{FF2B5EF4-FFF2-40B4-BE49-F238E27FC236}">
              <a16:creationId xmlns:a16="http://schemas.microsoft.com/office/drawing/2014/main" id="{496EFBBC-EE4A-4747-892C-EAE45E3909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16</xdr:row>
      <xdr:rowOff>0</xdr:rowOff>
    </xdr:from>
    <xdr:to>
      <xdr:col>5</xdr:col>
      <xdr:colOff>124591</xdr:colOff>
      <xdr:row>35</xdr:row>
      <xdr:rowOff>67189</xdr:rowOff>
    </xdr:to>
    <xdr:pic>
      <xdr:nvPicPr>
        <xdr:cNvPr id="2" name="Picture 1">
          <a:extLst>
            <a:ext uri="{FF2B5EF4-FFF2-40B4-BE49-F238E27FC236}">
              <a16:creationId xmlns:a16="http://schemas.microsoft.com/office/drawing/2014/main" id="{CA2F7A15-0BB1-4714-AB21-D6A084E3F91B}"/>
            </a:ext>
          </a:extLst>
        </xdr:cNvPr>
        <xdr:cNvPicPr>
          <a:picLocks noChangeAspect="1"/>
        </xdr:cNvPicPr>
      </xdr:nvPicPr>
      <xdr:blipFill>
        <a:blip xmlns:r="http://schemas.openxmlformats.org/officeDocument/2006/relationships" r:embed="rId1"/>
        <a:stretch>
          <a:fillRect/>
        </a:stretch>
      </xdr:blipFill>
      <xdr:spPr>
        <a:xfrm>
          <a:off x="0" y="3048000"/>
          <a:ext cx="5487166" cy="368668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136071</xdr:colOff>
      <xdr:row>23</xdr:row>
      <xdr:rowOff>86380</xdr:rowOff>
    </xdr:to>
    <xdr:pic>
      <xdr:nvPicPr>
        <xdr:cNvPr id="2" name="Picture 1">
          <a:extLst>
            <a:ext uri="{FF2B5EF4-FFF2-40B4-BE49-F238E27FC236}">
              <a16:creationId xmlns:a16="http://schemas.microsoft.com/office/drawing/2014/main" id="{14B141BB-31BC-4B4D-A7E3-F88E169E1CAD}"/>
            </a:ext>
          </a:extLst>
        </xdr:cNvPr>
        <xdr:cNvPicPr>
          <a:picLocks noChangeAspect="1"/>
        </xdr:cNvPicPr>
      </xdr:nvPicPr>
      <xdr:blipFill>
        <a:blip xmlns:r="http://schemas.openxmlformats.org/officeDocument/2006/relationships" r:embed="rId1"/>
        <a:stretch>
          <a:fillRect/>
        </a:stretch>
      </xdr:blipFill>
      <xdr:spPr>
        <a:xfrm>
          <a:off x="0" y="0"/>
          <a:ext cx="8028214" cy="4430199"/>
        </a:xfrm>
        <a:prstGeom prst="rect">
          <a:avLst/>
        </a:prstGeom>
        <a:ln>
          <a:noFill/>
        </a:ln>
        <a:effectLst>
          <a:outerShdw blurRad="292100" dist="139700" dir="2700000" algn="tl" rotWithShape="0">
            <a:srgbClr val="333333">
              <a:alpha val="65000"/>
            </a:srgbClr>
          </a:outerShdw>
        </a:effec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314325</xdr:colOff>
      <xdr:row>21</xdr:row>
      <xdr:rowOff>57716</xdr:rowOff>
    </xdr:to>
    <xdr:pic>
      <xdr:nvPicPr>
        <xdr:cNvPr id="2" name="Picture 1">
          <a:extLst>
            <a:ext uri="{FF2B5EF4-FFF2-40B4-BE49-F238E27FC236}">
              <a16:creationId xmlns:a16="http://schemas.microsoft.com/office/drawing/2014/main" id="{8F2D20D2-6CCF-46C7-BEBC-E33A80FEE412}"/>
            </a:ext>
          </a:extLst>
        </xdr:cNvPr>
        <xdr:cNvPicPr>
          <a:picLocks noChangeAspect="1"/>
        </xdr:cNvPicPr>
      </xdr:nvPicPr>
      <xdr:blipFill>
        <a:blip xmlns:r="http://schemas.openxmlformats.org/officeDocument/2006/relationships" r:embed="rId1"/>
        <a:stretch>
          <a:fillRect/>
        </a:stretch>
      </xdr:blipFill>
      <xdr:spPr>
        <a:xfrm>
          <a:off x="0" y="0"/>
          <a:ext cx="8172450" cy="4058216"/>
        </a:xfrm>
        <a:prstGeom prst="rect">
          <a:avLst/>
        </a:prstGeom>
      </xdr:spPr>
    </xdr:pic>
    <xdr:clientData/>
  </xdr:twoCellAnchor>
  <xdr:twoCellAnchor>
    <xdr:from>
      <xdr:col>0</xdr:col>
      <xdr:colOff>600075</xdr:colOff>
      <xdr:row>6</xdr:row>
      <xdr:rowOff>95250</xdr:rowOff>
    </xdr:from>
    <xdr:to>
      <xdr:col>1</xdr:col>
      <xdr:colOff>85725</xdr:colOff>
      <xdr:row>7</xdr:row>
      <xdr:rowOff>152400</xdr:rowOff>
    </xdr:to>
    <xdr:sp macro="" textlink="">
      <xdr:nvSpPr>
        <xdr:cNvPr id="3" name="TextBox 2">
          <a:extLst>
            <a:ext uri="{FF2B5EF4-FFF2-40B4-BE49-F238E27FC236}">
              <a16:creationId xmlns:a16="http://schemas.microsoft.com/office/drawing/2014/main" id="{A9E93D77-D868-4572-95C1-3F4CA44837D5}"/>
            </a:ext>
          </a:extLst>
        </xdr:cNvPr>
        <xdr:cNvSpPr txBox="1"/>
      </xdr:nvSpPr>
      <xdr:spPr>
        <a:xfrm>
          <a:off x="600075" y="1238250"/>
          <a:ext cx="1362075"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Customer App</a:t>
          </a:r>
        </a:p>
        <a:p>
          <a:endParaRPr lang="en-US" sz="1100"/>
        </a:p>
      </xdr:txBody>
    </xdr:sp>
    <xdr:clientData/>
  </xdr:twoCellAnchor>
  <xdr:twoCellAnchor>
    <xdr:from>
      <xdr:col>0</xdr:col>
      <xdr:colOff>885825</xdr:colOff>
      <xdr:row>10</xdr:row>
      <xdr:rowOff>104775</xdr:rowOff>
    </xdr:from>
    <xdr:to>
      <xdr:col>1</xdr:col>
      <xdr:colOff>304800</xdr:colOff>
      <xdr:row>11</xdr:row>
      <xdr:rowOff>171450</xdr:rowOff>
    </xdr:to>
    <xdr:sp macro="" textlink="">
      <xdr:nvSpPr>
        <xdr:cNvPr id="4" name="TextBox 3">
          <a:extLst>
            <a:ext uri="{FF2B5EF4-FFF2-40B4-BE49-F238E27FC236}">
              <a16:creationId xmlns:a16="http://schemas.microsoft.com/office/drawing/2014/main" id="{45491572-4B2B-4D8C-8FA1-9C8131F1224A}"/>
            </a:ext>
          </a:extLst>
        </xdr:cNvPr>
        <xdr:cNvSpPr txBox="1"/>
      </xdr:nvSpPr>
      <xdr:spPr>
        <a:xfrm>
          <a:off x="885825" y="2009775"/>
          <a:ext cx="1295400" cy="25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Restaurant Panel</a:t>
          </a:r>
        </a:p>
      </xdr:txBody>
    </xdr:sp>
    <xdr:clientData/>
  </xdr:twoCellAnchor>
  <xdr:twoCellAnchor>
    <xdr:from>
      <xdr:col>0</xdr:col>
      <xdr:colOff>857250</xdr:colOff>
      <xdr:row>16</xdr:row>
      <xdr:rowOff>123825</xdr:rowOff>
    </xdr:from>
    <xdr:to>
      <xdr:col>1</xdr:col>
      <xdr:colOff>209550</xdr:colOff>
      <xdr:row>18</xdr:row>
      <xdr:rowOff>28575</xdr:rowOff>
    </xdr:to>
    <xdr:sp macro="" textlink="">
      <xdr:nvSpPr>
        <xdr:cNvPr id="5" name="TextBox 4">
          <a:extLst>
            <a:ext uri="{FF2B5EF4-FFF2-40B4-BE49-F238E27FC236}">
              <a16:creationId xmlns:a16="http://schemas.microsoft.com/office/drawing/2014/main" id="{CD27713B-60CF-4CEA-99EF-742D23E0F8E0}"/>
            </a:ext>
          </a:extLst>
        </xdr:cNvPr>
        <xdr:cNvSpPr txBox="1"/>
      </xdr:nvSpPr>
      <xdr:spPr>
        <a:xfrm>
          <a:off x="857250" y="3171825"/>
          <a:ext cx="122872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Delivery</a:t>
          </a:r>
          <a:r>
            <a:rPr lang="en-US" sz="1100" baseline="0"/>
            <a:t> system</a:t>
          </a:r>
        </a:p>
        <a:p>
          <a:endParaRPr lang="en-US" sz="1100"/>
        </a:p>
      </xdr:txBody>
    </xdr:sp>
    <xdr:clientData/>
  </xdr:twoCellAnchor>
  <xdr:twoCellAnchor>
    <xdr:from>
      <xdr:col>0</xdr:col>
      <xdr:colOff>1857375</xdr:colOff>
      <xdr:row>2</xdr:row>
      <xdr:rowOff>104775</xdr:rowOff>
    </xdr:from>
    <xdr:to>
      <xdr:col>1</xdr:col>
      <xdr:colOff>1181100</xdr:colOff>
      <xdr:row>5</xdr:row>
      <xdr:rowOff>85725</xdr:rowOff>
    </xdr:to>
    <xdr:sp macro="" textlink="">
      <xdr:nvSpPr>
        <xdr:cNvPr id="6" name="TextBox 5">
          <a:extLst>
            <a:ext uri="{FF2B5EF4-FFF2-40B4-BE49-F238E27FC236}">
              <a16:creationId xmlns:a16="http://schemas.microsoft.com/office/drawing/2014/main" id="{6561BE42-F690-4ECB-8C14-96A10DD083D8}"/>
            </a:ext>
          </a:extLst>
        </xdr:cNvPr>
        <xdr:cNvSpPr txBox="1"/>
      </xdr:nvSpPr>
      <xdr:spPr>
        <a:xfrm>
          <a:off x="1857375" y="485775"/>
          <a:ext cx="1200150" cy="552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Zomato Data Warehouse</a:t>
          </a:r>
        </a:p>
      </xdr:txBody>
    </xdr:sp>
    <xdr:clientData/>
  </xdr:twoCellAnchor>
  <xdr:twoCellAnchor>
    <xdr:from>
      <xdr:col>2</xdr:col>
      <xdr:colOff>333375</xdr:colOff>
      <xdr:row>4</xdr:row>
      <xdr:rowOff>142875</xdr:rowOff>
    </xdr:from>
    <xdr:to>
      <xdr:col>2</xdr:col>
      <xdr:colOff>1466850</xdr:colOff>
      <xdr:row>6</xdr:row>
      <xdr:rowOff>19050</xdr:rowOff>
    </xdr:to>
    <xdr:sp macro="" textlink="">
      <xdr:nvSpPr>
        <xdr:cNvPr id="7" name="TextBox 6">
          <a:extLst>
            <a:ext uri="{FF2B5EF4-FFF2-40B4-BE49-F238E27FC236}">
              <a16:creationId xmlns:a16="http://schemas.microsoft.com/office/drawing/2014/main" id="{2808A7FC-C348-4C84-A68E-B174AD2C2641}"/>
            </a:ext>
          </a:extLst>
        </xdr:cNvPr>
        <xdr:cNvSpPr txBox="1"/>
      </xdr:nvSpPr>
      <xdr:spPr>
        <a:xfrm>
          <a:off x="3457575" y="904875"/>
          <a:ext cx="1133475" cy="25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Sales DM</a:t>
          </a:r>
        </a:p>
      </xdr:txBody>
    </xdr:sp>
    <xdr:clientData/>
  </xdr:twoCellAnchor>
  <xdr:twoCellAnchor>
    <xdr:from>
      <xdr:col>2</xdr:col>
      <xdr:colOff>266700</xdr:colOff>
      <xdr:row>12</xdr:row>
      <xdr:rowOff>28575</xdr:rowOff>
    </xdr:from>
    <xdr:to>
      <xdr:col>2</xdr:col>
      <xdr:colOff>1571625</xdr:colOff>
      <xdr:row>13</xdr:row>
      <xdr:rowOff>47625</xdr:rowOff>
    </xdr:to>
    <xdr:sp macro="" textlink="">
      <xdr:nvSpPr>
        <xdr:cNvPr id="8" name="TextBox 7">
          <a:extLst>
            <a:ext uri="{FF2B5EF4-FFF2-40B4-BE49-F238E27FC236}">
              <a16:creationId xmlns:a16="http://schemas.microsoft.com/office/drawing/2014/main" id="{EC0D19D5-4417-45E7-BA42-2DD73BD9FDD5}"/>
            </a:ext>
          </a:extLst>
        </xdr:cNvPr>
        <xdr:cNvSpPr txBox="1"/>
      </xdr:nvSpPr>
      <xdr:spPr>
        <a:xfrm>
          <a:off x="3390900" y="2314575"/>
          <a:ext cx="1304925"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Marketing DM</a:t>
          </a:r>
        </a:p>
      </xdr:txBody>
    </xdr:sp>
    <xdr:clientData/>
  </xdr:twoCellAnchor>
  <xdr:twoCellAnchor>
    <xdr:from>
      <xdr:col>2</xdr:col>
      <xdr:colOff>161925</xdr:colOff>
      <xdr:row>16</xdr:row>
      <xdr:rowOff>104775</xdr:rowOff>
    </xdr:from>
    <xdr:to>
      <xdr:col>2</xdr:col>
      <xdr:colOff>1438275</xdr:colOff>
      <xdr:row>17</xdr:row>
      <xdr:rowOff>104775</xdr:rowOff>
    </xdr:to>
    <xdr:sp macro="" textlink="">
      <xdr:nvSpPr>
        <xdr:cNvPr id="9" name="TextBox 8">
          <a:extLst>
            <a:ext uri="{FF2B5EF4-FFF2-40B4-BE49-F238E27FC236}">
              <a16:creationId xmlns:a16="http://schemas.microsoft.com/office/drawing/2014/main" id="{666B280E-9024-4D25-B949-7AA68B6EA065}"/>
            </a:ext>
          </a:extLst>
        </xdr:cNvPr>
        <xdr:cNvSpPr txBox="1"/>
      </xdr:nvSpPr>
      <xdr:spPr>
        <a:xfrm>
          <a:off x="3286125" y="3152775"/>
          <a:ext cx="1276350" cy="190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operations DM</a:t>
          </a:r>
        </a:p>
      </xdr:txBody>
    </xdr:sp>
    <xdr:clientData/>
  </xdr:twoCellAnchor>
  <xdr:twoCellAnchor>
    <xdr:from>
      <xdr:col>4</xdr:col>
      <xdr:colOff>123825</xdr:colOff>
      <xdr:row>3</xdr:row>
      <xdr:rowOff>114300</xdr:rowOff>
    </xdr:from>
    <xdr:to>
      <xdr:col>5</xdr:col>
      <xdr:colOff>476250</xdr:colOff>
      <xdr:row>4</xdr:row>
      <xdr:rowOff>142875</xdr:rowOff>
    </xdr:to>
    <xdr:sp macro="" textlink="">
      <xdr:nvSpPr>
        <xdr:cNvPr id="10" name="TextBox 9">
          <a:extLst>
            <a:ext uri="{FF2B5EF4-FFF2-40B4-BE49-F238E27FC236}">
              <a16:creationId xmlns:a16="http://schemas.microsoft.com/office/drawing/2014/main" id="{E50956B5-AE2E-41D2-A2C1-9C664385B9E0}"/>
            </a:ext>
          </a:extLst>
        </xdr:cNvPr>
        <xdr:cNvSpPr txBox="1"/>
      </xdr:nvSpPr>
      <xdr:spPr>
        <a:xfrm>
          <a:off x="5543550" y="685800"/>
          <a:ext cx="962025" cy="219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Sales Team</a:t>
          </a:r>
        </a:p>
      </xdr:txBody>
    </xdr:sp>
    <xdr:clientData/>
  </xdr:twoCellAnchor>
  <xdr:twoCellAnchor>
    <xdr:from>
      <xdr:col>5</xdr:col>
      <xdr:colOff>323851</xdr:colOff>
      <xdr:row>8</xdr:row>
      <xdr:rowOff>28575</xdr:rowOff>
    </xdr:from>
    <xdr:to>
      <xdr:col>7</xdr:col>
      <xdr:colOff>209551</xdr:colOff>
      <xdr:row>9</xdr:row>
      <xdr:rowOff>76200</xdr:rowOff>
    </xdr:to>
    <xdr:sp macro="" textlink="">
      <xdr:nvSpPr>
        <xdr:cNvPr id="11" name="TextBox 10">
          <a:extLst>
            <a:ext uri="{FF2B5EF4-FFF2-40B4-BE49-F238E27FC236}">
              <a16:creationId xmlns:a16="http://schemas.microsoft.com/office/drawing/2014/main" id="{3463A3FD-2946-4850-BE19-671C1BDB15C1}"/>
            </a:ext>
          </a:extLst>
        </xdr:cNvPr>
        <xdr:cNvSpPr txBox="1"/>
      </xdr:nvSpPr>
      <xdr:spPr>
        <a:xfrm>
          <a:off x="6353176" y="1552575"/>
          <a:ext cx="1104900"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Marketing team</a:t>
          </a:r>
        </a:p>
      </xdr:txBody>
    </xdr:sp>
    <xdr:clientData/>
  </xdr:twoCellAnchor>
  <xdr:twoCellAnchor>
    <xdr:from>
      <xdr:col>5</xdr:col>
      <xdr:colOff>219075</xdr:colOff>
      <xdr:row>14</xdr:row>
      <xdr:rowOff>161925</xdr:rowOff>
    </xdr:from>
    <xdr:to>
      <xdr:col>6</xdr:col>
      <xdr:colOff>552450</xdr:colOff>
      <xdr:row>16</xdr:row>
      <xdr:rowOff>0</xdr:rowOff>
    </xdr:to>
    <xdr:sp macro="" textlink="">
      <xdr:nvSpPr>
        <xdr:cNvPr id="12" name="TextBox 11">
          <a:extLst>
            <a:ext uri="{FF2B5EF4-FFF2-40B4-BE49-F238E27FC236}">
              <a16:creationId xmlns:a16="http://schemas.microsoft.com/office/drawing/2014/main" id="{5F96706F-47C9-4DFB-8E78-01E80644F6D2}"/>
            </a:ext>
          </a:extLst>
        </xdr:cNvPr>
        <xdr:cNvSpPr txBox="1"/>
      </xdr:nvSpPr>
      <xdr:spPr>
        <a:xfrm>
          <a:off x="6248400" y="2828925"/>
          <a:ext cx="942975" cy="219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ops team</a:t>
          </a:r>
        </a:p>
      </xdr:txBody>
    </xdr:sp>
    <xdr:clientData/>
  </xdr:twoCellAnchor>
  <xdr:twoCellAnchor>
    <xdr:from>
      <xdr:col>3</xdr:col>
      <xdr:colOff>85725</xdr:colOff>
      <xdr:row>6</xdr:row>
      <xdr:rowOff>19050</xdr:rowOff>
    </xdr:from>
    <xdr:to>
      <xdr:col>4</xdr:col>
      <xdr:colOff>257175</xdr:colOff>
      <xdr:row>7</xdr:row>
      <xdr:rowOff>133350</xdr:rowOff>
    </xdr:to>
    <xdr:sp macro="" textlink="">
      <xdr:nvSpPr>
        <xdr:cNvPr id="13" name="TextBox 12">
          <a:extLst>
            <a:ext uri="{FF2B5EF4-FFF2-40B4-BE49-F238E27FC236}">
              <a16:creationId xmlns:a16="http://schemas.microsoft.com/office/drawing/2014/main" id="{310118FF-6008-44C2-B179-1C09ABFF6519}"/>
            </a:ext>
          </a:extLst>
        </xdr:cNvPr>
        <xdr:cNvSpPr txBox="1"/>
      </xdr:nvSpPr>
      <xdr:spPr>
        <a:xfrm>
          <a:off x="4895850" y="1162050"/>
          <a:ext cx="78105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Sales Olap</a:t>
          </a:r>
        </a:p>
      </xdr:txBody>
    </xdr:sp>
    <xdr:clientData/>
  </xdr:twoCellAnchor>
  <xdr:twoCellAnchor>
    <xdr:from>
      <xdr:col>2</xdr:col>
      <xdr:colOff>1666875</xdr:colOff>
      <xdr:row>11</xdr:row>
      <xdr:rowOff>133351</xdr:rowOff>
    </xdr:from>
    <xdr:to>
      <xdr:col>4</xdr:col>
      <xdr:colOff>523875</xdr:colOff>
      <xdr:row>13</xdr:row>
      <xdr:rowOff>38101</xdr:rowOff>
    </xdr:to>
    <xdr:sp macro="" textlink="">
      <xdr:nvSpPr>
        <xdr:cNvPr id="14" name="TextBox 13">
          <a:extLst>
            <a:ext uri="{FF2B5EF4-FFF2-40B4-BE49-F238E27FC236}">
              <a16:creationId xmlns:a16="http://schemas.microsoft.com/office/drawing/2014/main" id="{085C407F-CCB1-4DF2-A729-8B10630B1496}"/>
            </a:ext>
          </a:extLst>
        </xdr:cNvPr>
        <xdr:cNvSpPr txBox="1"/>
      </xdr:nvSpPr>
      <xdr:spPr>
        <a:xfrm>
          <a:off x="4791075" y="2228851"/>
          <a:ext cx="115252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Marketing Olap</a:t>
          </a:r>
        </a:p>
      </xdr:txBody>
    </xdr:sp>
    <xdr:clientData/>
  </xdr:twoCellAnchor>
  <xdr:twoCellAnchor>
    <xdr:from>
      <xdr:col>3</xdr:col>
      <xdr:colOff>200025</xdr:colOff>
      <xdr:row>14</xdr:row>
      <xdr:rowOff>19050</xdr:rowOff>
    </xdr:from>
    <xdr:to>
      <xdr:col>4</xdr:col>
      <xdr:colOff>295275</xdr:colOff>
      <xdr:row>15</xdr:row>
      <xdr:rowOff>123825</xdr:rowOff>
    </xdr:to>
    <xdr:sp macro="" textlink="">
      <xdr:nvSpPr>
        <xdr:cNvPr id="15" name="TextBox 14">
          <a:extLst>
            <a:ext uri="{FF2B5EF4-FFF2-40B4-BE49-F238E27FC236}">
              <a16:creationId xmlns:a16="http://schemas.microsoft.com/office/drawing/2014/main" id="{79AC1E1C-EFD2-4F0F-B46D-37E93FE03985}"/>
            </a:ext>
          </a:extLst>
        </xdr:cNvPr>
        <xdr:cNvSpPr txBox="1"/>
      </xdr:nvSpPr>
      <xdr:spPr>
        <a:xfrm>
          <a:off x="5010150" y="2686050"/>
          <a:ext cx="704850"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Ops Olap</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kaggle.com/datasets/yasserh/advertising-sales-datase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F7E59-2316-4A96-BA52-F61246A2AD89}">
  <dimension ref="A2:I11"/>
  <sheetViews>
    <sheetView workbookViewId="0">
      <selection activeCell="F18" sqref="F18"/>
    </sheetView>
  </sheetViews>
  <sheetFormatPr defaultRowHeight="15"/>
  <sheetData>
    <row r="2" spans="1:9">
      <c r="A2" s="23" t="s">
        <v>0</v>
      </c>
      <c r="B2" s="23"/>
      <c r="C2" s="23"/>
      <c r="D2" s="23"/>
      <c r="E2" s="23"/>
      <c r="F2" s="23"/>
      <c r="G2" s="23"/>
      <c r="H2" s="23"/>
      <c r="I2" s="23"/>
    </row>
    <row r="3" spans="1:9">
      <c r="A3" s="23"/>
      <c r="B3" s="23"/>
      <c r="C3" s="23"/>
      <c r="D3" s="23"/>
      <c r="E3" s="23"/>
      <c r="F3" s="23"/>
      <c r="G3" s="23"/>
      <c r="H3" s="23"/>
      <c r="I3" s="23"/>
    </row>
    <row r="5" spans="1:9">
      <c r="A5" s="23" t="s">
        <v>1</v>
      </c>
      <c r="B5" s="23"/>
      <c r="C5" s="23"/>
      <c r="D5" s="23"/>
      <c r="E5" s="23"/>
      <c r="F5" s="23"/>
      <c r="G5" s="23"/>
      <c r="H5" s="23"/>
      <c r="I5" s="23"/>
    </row>
    <row r="6" spans="1:9">
      <c r="A6" s="23"/>
      <c r="B6" s="23"/>
      <c r="C6" s="23"/>
      <c r="D6" s="23"/>
      <c r="E6" s="23"/>
      <c r="F6" s="23"/>
      <c r="G6" s="23"/>
      <c r="H6" s="23"/>
      <c r="I6" s="23"/>
    </row>
    <row r="8" spans="1:9">
      <c r="A8" s="23" t="s">
        <v>2</v>
      </c>
      <c r="B8" s="23"/>
      <c r="C8" s="23"/>
      <c r="D8" s="23"/>
      <c r="E8" s="23"/>
      <c r="F8" s="23"/>
      <c r="G8" s="23"/>
      <c r="H8" s="23"/>
      <c r="I8" s="23"/>
    </row>
    <row r="9" spans="1:9">
      <c r="A9" s="23"/>
      <c r="B9" s="23"/>
      <c r="C9" s="23"/>
      <c r="D9" s="23"/>
      <c r="E9" s="23"/>
      <c r="F9" s="23"/>
      <c r="G9" s="23"/>
      <c r="H9" s="23"/>
      <c r="I9" s="23"/>
    </row>
    <row r="11" spans="1:9">
      <c r="A11" s="24" t="s">
        <v>3</v>
      </c>
      <c r="B11" s="25"/>
      <c r="C11" s="25"/>
      <c r="D11" s="25"/>
      <c r="E11" s="25"/>
      <c r="F11" s="25"/>
      <c r="G11" s="25"/>
      <c r="H11" s="25"/>
    </row>
  </sheetData>
  <mergeCells count="4">
    <mergeCell ref="A2:I3"/>
    <mergeCell ref="A5:I6"/>
    <mergeCell ref="A8:I9"/>
    <mergeCell ref="A11:H11"/>
  </mergeCells>
  <hyperlinks>
    <hyperlink ref="A11" r:id="rId1" xr:uid="{D39B7F79-6B1E-41A1-A5CE-7A8838D405F3}"/>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55355-9D6B-45F8-8153-9FB8E8731481}">
  <dimension ref="A1:I209"/>
  <sheetViews>
    <sheetView topLeftCell="A200" workbookViewId="0">
      <selection activeCell="O18" sqref="O18"/>
    </sheetView>
  </sheetViews>
  <sheetFormatPr defaultRowHeight="15"/>
  <cols>
    <col min="1" max="1" width="15.7109375" customWidth="1"/>
    <col min="2" max="2" width="19.140625" customWidth="1"/>
    <col min="3" max="3" width="26.42578125" customWidth="1"/>
    <col min="4" max="4" width="20" customWidth="1"/>
    <col min="5" max="5" width="23.7109375" customWidth="1"/>
  </cols>
  <sheetData>
    <row r="1" spans="1:5">
      <c r="A1" s="2" t="s">
        <v>4</v>
      </c>
      <c r="B1" s="2" t="s">
        <v>5</v>
      </c>
      <c r="C1" s="2" t="s">
        <v>6</v>
      </c>
      <c r="D1" s="2" t="s">
        <v>7</v>
      </c>
      <c r="E1" s="2" t="s">
        <v>8</v>
      </c>
    </row>
    <row r="2" spans="1:5">
      <c r="A2">
        <v>230.1</v>
      </c>
      <c r="B2">
        <v>37.799999999999997</v>
      </c>
      <c r="C2">
        <v>69.2</v>
      </c>
      <c r="D2">
        <v>22.1</v>
      </c>
      <c r="E2">
        <v>20.523986090000001</v>
      </c>
    </row>
    <row r="3" spans="1:5">
      <c r="A3">
        <v>44.5</v>
      </c>
      <c r="B3">
        <v>39.299999999999997</v>
      </c>
      <c r="C3">
        <v>45.1</v>
      </c>
      <c r="D3">
        <v>10.4</v>
      </c>
      <c r="E3">
        <v>12.33786566</v>
      </c>
    </row>
    <row r="4" spans="1:5">
      <c r="A4">
        <v>17.2</v>
      </c>
      <c r="B4">
        <v>45.9</v>
      </c>
      <c r="C4">
        <v>69.3</v>
      </c>
      <c r="D4">
        <v>9.3000000000000007</v>
      </c>
      <c r="E4">
        <v>12.307681499999999</v>
      </c>
    </row>
    <row r="5" spans="1:5">
      <c r="A5">
        <v>151.5</v>
      </c>
      <c r="B5">
        <v>41.3</v>
      </c>
      <c r="C5">
        <v>58.5</v>
      </c>
      <c r="D5">
        <v>18.5</v>
      </c>
      <c r="E5">
        <v>17.59784084</v>
      </c>
    </row>
    <row r="6" spans="1:5">
      <c r="A6">
        <v>180.8</v>
      </c>
      <c r="B6">
        <v>10.8</v>
      </c>
      <c r="C6">
        <v>58.4</v>
      </c>
      <c r="D6">
        <v>12.9</v>
      </c>
      <c r="E6">
        <v>13.18868331</v>
      </c>
    </row>
    <row r="7" spans="1:5">
      <c r="A7">
        <v>8.6999999999999993</v>
      </c>
      <c r="B7">
        <v>48.9</v>
      </c>
      <c r="C7">
        <v>75</v>
      </c>
      <c r="D7">
        <v>7.2</v>
      </c>
      <c r="E7">
        <v>12.478358310000001</v>
      </c>
    </row>
    <row r="8" spans="1:5">
      <c r="A8">
        <v>57.5</v>
      </c>
      <c r="B8">
        <v>32.799999999999997</v>
      </c>
      <c r="C8">
        <v>23.5</v>
      </c>
      <c r="D8">
        <v>11.8</v>
      </c>
      <c r="E8">
        <v>11.72977085</v>
      </c>
    </row>
    <row r="9" spans="1:5">
      <c r="A9">
        <v>120.2</v>
      </c>
      <c r="B9">
        <v>19.600000000000001</v>
      </c>
      <c r="C9">
        <v>11.6</v>
      </c>
      <c r="D9">
        <v>13.2</v>
      </c>
      <c r="E9">
        <v>12.122964339999999</v>
      </c>
    </row>
    <row r="10" spans="1:5">
      <c r="A10">
        <v>8.6</v>
      </c>
      <c r="B10">
        <v>2.1</v>
      </c>
      <c r="C10">
        <v>1</v>
      </c>
      <c r="D10">
        <v>4.8</v>
      </c>
      <c r="E10">
        <v>3.7273515330000002</v>
      </c>
    </row>
    <row r="11" spans="1:5">
      <c r="A11">
        <v>199.8</v>
      </c>
      <c r="B11">
        <v>2.6</v>
      </c>
      <c r="C11">
        <v>21.2</v>
      </c>
      <c r="D11">
        <v>10.6</v>
      </c>
      <c r="E11">
        <v>12.55086026</v>
      </c>
    </row>
    <row r="12" spans="1:5">
      <c r="A12">
        <v>66.099999999999994</v>
      </c>
      <c r="B12">
        <v>5.8</v>
      </c>
      <c r="C12">
        <v>24.2</v>
      </c>
      <c r="D12">
        <v>8.6</v>
      </c>
      <c r="E12">
        <v>7.0323101330000002</v>
      </c>
    </row>
    <row r="13" spans="1:5">
      <c r="A13">
        <v>214.7</v>
      </c>
      <c r="B13">
        <v>24</v>
      </c>
      <c r="C13">
        <v>4</v>
      </c>
      <c r="D13">
        <v>17.399999999999999</v>
      </c>
      <c r="E13">
        <v>17.28514079</v>
      </c>
    </row>
    <row r="14" spans="1:5">
      <c r="A14">
        <v>23.8</v>
      </c>
      <c r="B14">
        <v>35.1</v>
      </c>
      <c r="C14">
        <v>65.900000000000006</v>
      </c>
      <c r="D14">
        <v>9.1999999999999993</v>
      </c>
      <c r="E14">
        <v>10.57713148</v>
      </c>
    </row>
    <row r="15" spans="1:5">
      <c r="A15">
        <v>97.5</v>
      </c>
      <c r="B15">
        <v>7.6</v>
      </c>
      <c r="C15">
        <v>7.2</v>
      </c>
      <c r="D15">
        <v>9.6999999999999993</v>
      </c>
      <c r="E15">
        <v>8.8263115550000002</v>
      </c>
    </row>
    <row r="16" spans="1:5">
      <c r="A16">
        <v>204.1</v>
      </c>
      <c r="B16">
        <v>32.9</v>
      </c>
      <c r="C16">
        <v>46</v>
      </c>
      <c r="D16">
        <v>19</v>
      </c>
      <c r="E16">
        <v>18.434377949999998</v>
      </c>
    </row>
    <row r="17" spans="1:5">
      <c r="A17">
        <v>195.4</v>
      </c>
      <c r="B17">
        <v>47.7</v>
      </c>
      <c r="C17">
        <v>52.9</v>
      </c>
      <c r="D17">
        <v>22.4</v>
      </c>
      <c r="E17">
        <v>20.819311039999999</v>
      </c>
    </row>
    <row r="18" spans="1:5">
      <c r="A18">
        <v>67.8</v>
      </c>
      <c r="B18">
        <v>36.6</v>
      </c>
      <c r="C18">
        <v>114</v>
      </c>
      <c r="D18">
        <v>12.5</v>
      </c>
      <c r="E18">
        <v>12.823667690000001</v>
      </c>
    </row>
    <row r="19" spans="1:5">
      <c r="A19">
        <v>281.39999999999998</v>
      </c>
      <c r="B19">
        <v>39.6</v>
      </c>
      <c r="C19">
        <v>55.8</v>
      </c>
      <c r="D19">
        <v>24.4</v>
      </c>
      <c r="E19">
        <v>23.22496907</v>
      </c>
    </row>
    <row r="20" spans="1:5">
      <c r="A20">
        <v>69.2</v>
      </c>
      <c r="B20">
        <v>20.5</v>
      </c>
      <c r="C20">
        <v>18.3</v>
      </c>
      <c r="D20">
        <v>11.3</v>
      </c>
      <c r="E20">
        <v>9.9516930069999994</v>
      </c>
    </row>
    <row r="21" spans="1:5">
      <c r="A21">
        <v>147.30000000000001</v>
      </c>
      <c r="B21">
        <v>23.9</v>
      </c>
      <c r="C21">
        <v>19.100000000000001</v>
      </c>
      <c r="D21">
        <v>14.6</v>
      </c>
      <c r="E21">
        <v>14.16608424</v>
      </c>
    </row>
    <row r="22" spans="1:5">
      <c r="A22">
        <v>218.4</v>
      </c>
      <c r="B22">
        <v>27.7</v>
      </c>
      <c r="C22">
        <v>53.4</v>
      </c>
      <c r="D22">
        <v>18</v>
      </c>
      <c r="E22">
        <v>18.100778900000002</v>
      </c>
    </row>
    <row r="23" spans="1:5">
      <c r="A23">
        <v>237.4</v>
      </c>
      <c r="B23">
        <v>5.0999999999999996</v>
      </c>
      <c r="C23">
        <v>23.5</v>
      </c>
      <c r="D23">
        <v>12.5</v>
      </c>
      <c r="E23">
        <v>14.74054991</v>
      </c>
    </row>
    <row r="24" spans="1:5">
      <c r="A24">
        <v>13.2</v>
      </c>
      <c r="B24">
        <v>15.9</v>
      </c>
      <c r="C24">
        <v>49.6</v>
      </c>
      <c r="D24">
        <v>5.6</v>
      </c>
      <c r="E24">
        <v>6.489160998</v>
      </c>
    </row>
    <row r="25" spans="1:5">
      <c r="A25">
        <v>228.3</v>
      </c>
      <c r="B25">
        <v>16.899999999999999</v>
      </c>
      <c r="C25">
        <v>26.2</v>
      </c>
      <c r="D25">
        <v>15.5</v>
      </c>
      <c r="E25">
        <v>16.54594457</v>
      </c>
    </row>
    <row r="26" spans="1:5">
      <c r="A26">
        <v>62.3</v>
      </c>
      <c r="B26">
        <v>12.6</v>
      </c>
      <c r="C26">
        <v>18.3</v>
      </c>
      <c r="D26">
        <v>9.6999999999999993</v>
      </c>
      <c r="E26">
        <v>8.1465297870000004</v>
      </c>
    </row>
    <row r="27" spans="1:5">
      <c r="A27">
        <v>262.89999999999998</v>
      </c>
      <c r="B27">
        <v>3.5</v>
      </c>
      <c r="C27">
        <v>19.5</v>
      </c>
      <c r="D27">
        <v>12</v>
      </c>
      <c r="E27">
        <v>15.610050429999999</v>
      </c>
    </row>
    <row r="28" spans="1:5">
      <c r="A28">
        <v>142.9</v>
      </c>
      <c r="B28">
        <v>29.3</v>
      </c>
      <c r="C28">
        <v>12.6</v>
      </c>
      <c r="D28">
        <v>15</v>
      </c>
      <c r="E28">
        <v>14.98952557</v>
      </c>
    </row>
    <row r="29" spans="1:5">
      <c r="A29">
        <v>240.1</v>
      </c>
      <c r="B29">
        <v>16.7</v>
      </c>
      <c r="C29">
        <v>22.9</v>
      </c>
      <c r="D29">
        <v>15.9</v>
      </c>
      <c r="E29">
        <v>17.051685160000002</v>
      </c>
    </row>
    <row r="30" spans="1:5">
      <c r="A30">
        <v>248.8</v>
      </c>
      <c r="B30">
        <v>27.1</v>
      </c>
      <c r="C30">
        <v>22.9</v>
      </c>
      <c r="D30">
        <v>18.899999999999999</v>
      </c>
      <c r="E30">
        <v>19.410549790000001</v>
      </c>
    </row>
    <row r="31" spans="1:5">
      <c r="A31">
        <v>70.599999999999994</v>
      </c>
      <c r="B31">
        <v>16</v>
      </c>
      <c r="C31">
        <v>40.799999999999997</v>
      </c>
      <c r="D31">
        <v>10.5</v>
      </c>
      <c r="E31">
        <v>9.1440348480000004</v>
      </c>
    </row>
    <row r="32" spans="1:5">
      <c r="A32">
        <v>292.89999999999998</v>
      </c>
      <c r="B32">
        <v>28.3</v>
      </c>
      <c r="C32">
        <v>43.2</v>
      </c>
      <c r="D32">
        <v>21.4</v>
      </c>
      <c r="E32">
        <v>21.63394577</v>
      </c>
    </row>
    <row r="33" spans="1:5">
      <c r="A33">
        <v>112.9</v>
      </c>
      <c r="B33">
        <v>17.399999999999999</v>
      </c>
      <c r="C33">
        <v>38.6</v>
      </c>
      <c r="D33">
        <v>11.9</v>
      </c>
      <c r="E33">
        <v>11.346104049999999</v>
      </c>
    </row>
    <row r="34" spans="1:5">
      <c r="A34">
        <v>97.2</v>
      </c>
      <c r="B34">
        <v>1.5</v>
      </c>
      <c r="C34">
        <v>30</v>
      </c>
      <c r="D34">
        <v>9.6</v>
      </c>
      <c r="E34">
        <v>7.6388942159999997</v>
      </c>
    </row>
    <row r="35" spans="1:5">
      <c r="A35">
        <v>265.60000000000002</v>
      </c>
      <c r="B35">
        <v>20</v>
      </c>
      <c r="C35">
        <v>0.3</v>
      </c>
      <c r="D35">
        <v>17.399999999999999</v>
      </c>
      <c r="E35">
        <v>18.864280130000001</v>
      </c>
    </row>
    <row r="36" spans="1:5">
      <c r="A36">
        <v>95.7</v>
      </c>
      <c r="B36">
        <v>1.4</v>
      </c>
      <c r="C36">
        <v>7.4</v>
      </c>
      <c r="D36">
        <v>9.5</v>
      </c>
      <c r="E36">
        <v>7.5748415810000003</v>
      </c>
    </row>
    <row r="37" spans="1:5">
      <c r="A37">
        <v>290.7</v>
      </c>
      <c r="B37">
        <v>4.0999999999999996</v>
      </c>
      <c r="C37">
        <v>8.5</v>
      </c>
      <c r="D37">
        <v>12.8</v>
      </c>
      <c r="E37">
        <v>17.006838129999998</v>
      </c>
    </row>
    <row r="38" spans="1:5">
      <c r="A38">
        <v>266.89999999999998</v>
      </c>
      <c r="B38">
        <v>43.8</v>
      </c>
      <c r="C38">
        <v>5</v>
      </c>
      <c r="D38">
        <v>25.4</v>
      </c>
      <c r="E38">
        <v>23.405912359999999</v>
      </c>
    </row>
    <row r="39" spans="1:5">
      <c r="A39">
        <v>74.7</v>
      </c>
      <c r="B39">
        <v>49.4</v>
      </c>
      <c r="C39">
        <v>45.7</v>
      </c>
      <c r="D39">
        <v>14.7</v>
      </c>
      <c r="E39">
        <v>15.623488760000001</v>
      </c>
    </row>
    <row r="40" spans="1:5">
      <c r="A40">
        <v>43.1</v>
      </c>
      <c r="B40">
        <v>26.7</v>
      </c>
      <c r="C40">
        <v>35.1</v>
      </c>
      <c r="D40">
        <v>10.1</v>
      </c>
      <c r="E40">
        <v>9.9086918649999998</v>
      </c>
    </row>
    <row r="41" spans="1:5">
      <c r="A41">
        <v>228</v>
      </c>
      <c r="B41">
        <v>37.700000000000003</v>
      </c>
      <c r="C41">
        <v>32</v>
      </c>
      <c r="D41">
        <v>21.5</v>
      </c>
      <c r="E41">
        <v>20.44762206</v>
      </c>
    </row>
    <row r="42" spans="1:5">
      <c r="A42">
        <v>202.5</v>
      </c>
      <c r="B42">
        <v>22.3</v>
      </c>
      <c r="C42">
        <v>31.6</v>
      </c>
      <c r="D42">
        <v>16.600000000000001</v>
      </c>
      <c r="E42">
        <v>16.377676229999999</v>
      </c>
    </row>
    <row r="43" spans="1:5">
      <c r="A43">
        <v>177</v>
      </c>
      <c r="B43">
        <v>33.4</v>
      </c>
      <c r="C43">
        <v>38.700000000000003</v>
      </c>
      <c r="D43">
        <v>17.100000000000001</v>
      </c>
      <c r="E43">
        <v>17.29599464</v>
      </c>
    </row>
    <row r="44" spans="1:5">
      <c r="A44">
        <v>293.60000000000002</v>
      </c>
      <c r="B44">
        <v>27.7</v>
      </c>
      <c r="C44">
        <v>1.8</v>
      </c>
      <c r="D44">
        <v>20.7</v>
      </c>
      <c r="E44">
        <v>21.595815219999999</v>
      </c>
    </row>
    <row r="45" spans="1:5">
      <c r="A45">
        <v>206.9</v>
      </c>
      <c r="B45">
        <v>8.4</v>
      </c>
      <c r="C45">
        <v>26.4</v>
      </c>
      <c r="D45">
        <v>12.9</v>
      </c>
      <c r="E45">
        <v>13.96386841</v>
      </c>
    </row>
    <row r="46" spans="1:5">
      <c r="A46">
        <v>25.1</v>
      </c>
      <c r="B46">
        <v>25.7</v>
      </c>
      <c r="C46">
        <v>43.3</v>
      </c>
      <c r="D46">
        <v>8.5</v>
      </c>
      <c r="E46">
        <v>8.8878907050000002</v>
      </c>
    </row>
    <row r="47" spans="1:5">
      <c r="A47">
        <v>175.1</v>
      </c>
      <c r="B47">
        <v>22.5</v>
      </c>
      <c r="C47">
        <v>31.5</v>
      </c>
      <c r="D47">
        <v>14.9</v>
      </c>
      <c r="E47">
        <v>15.161534570000001</v>
      </c>
    </row>
    <row r="48" spans="1:5">
      <c r="A48">
        <v>89.7</v>
      </c>
      <c r="B48">
        <v>9.9</v>
      </c>
      <c r="C48">
        <v>35.700000000000003</v>
      </c>
      <c r="D48">
        <v>10.6</v>
      </c>
      <c r="E48">
        <v>8.8733977730000007</v>
      </c>
    </row>
    <row r="49" spans="1:5">
      <c r="A49">
        <v>239.9</v>
      </c>
      <c r="B49">
        <v>41.5</v>
      </c>
      <c r="C49">
        <v>18.5</v>
      </c>
      <c r="D49">
        <v>23.2</v>
      </c>
      <c r="E49">
        <v>21.722641620000001</v>
      </c>
    </row>
    <row r="50" spans="1:5">
      <c r="A50">
        <v>227.2</v>
      </c>
      <c r="B50">
        <v>15.8</v>
      </c>
      <c r="C50">
        <v>49.9</v>
      </c>
      <c r="D50">
        <v>14.8</v>
      </c>
      <c r="E50">
        <v>16.263631849999999</v>
      </c>
    </row>
    <row r="51" spans="1:5">
      <c r="A51">
        <v>66.900000000000006</v>
      </c>
      <c r="B51">
        <v>11.7</v>
      </c>
      <c r="C51">
        <v>36.799999999999997</v>
      </c>
      <c r="D51">
        <v>9.6999999999999993</v>
      </c>
      <c r="E51">
        <v>8.1681765419999994</v>
      </c>
    </row>
    <row r="52" spans="1:5">
      <c r="A52">
        <v>199.8</v>
      </c>
      <c r="B52">
        <v>3.1</v>
      </c>
      <c r="C52">
        <v>34.6</v>
      </c>
      <c r="D52">
        <v>11.4</v>
      </c>
      <c r="E52">
        <v>12.631222859999999</v>
      </c>
    </row>
    <row r="53" spans="1:5">
      <c r="A53">
        <v>100.4</v>
      </c>
      <c r="B53">
        <v>9.6</v>
      </c>
      <c r="C53">
        <v>3.6</v>
      </c>
      <c r="D53">
        <v>10.7</v>
      </c>
      <c r="E53">
        <v>9.3398240480000005</v>
      </c>
    </row>
    <row r="54" spans="1:5">
      <c r="A54">
        <v>216.4</v>
      </c>
      <c r="B54">
        <v>41.7</v>
      </c>
      <c r="C54">
        <v>39.6</v>
      </c>
      <c r="D54">
        <v>22.6</v>
      </c>
      <c r="E54">
        <v>20.66298725</v>
      </c>
    </row>
    <row r="55" spans="1:5">
      <c r="A55">
        <v>182.6</v>
      </c>
      <c r="B55">
        <v>46.2</v>
      </c>
      <c r="C55">
        <v>58.7</v>
      </c>
      <c r="D55">
        <v>21.2</v>
      </c>
      <c r="E55">
        <v>19.944711040000001</v>
      </c>
    </row>
    <row r="56" spans="1:5">
      <c r="A56">
        <v>262.7</v>
      </c>
      <c r="B56">
        <v>28.8</v>
      </c>
      <c r="C56">
        <v>15.9</v>
      </c>
      <c r="D56">
        <v>20.2</v>
      </c>
      <c r="E56">
        <v>20.374441910000002</v>
      </c>
    </row>
    <row r="57" spans="1:5">
      <c r="A57">
        <v>198.9</v>
      </c>
      <c r="B57">
        <v>49.4</v>
      </c>
      <c r="C57">
        <v>60</v>
      </c>
      <c r="D57">
        <v>23.7</v>
      </c>
      <c r="E57">
        <v>21.292622139999999</v>
      </c>
    </row>
    <row r="58" spans="1:5">
      <c r="A58">
        <v>7.3</v>
      </c>
      <c r="B58">
        <v>28.1</v>
      </c>
      <c r="C58">
        <v>41.4</v>
      </c>
      <c r="D58">
        <v>5.5</v>
      </c>
      <c r="E58">
        <v>8.5277232129999998</v>
      </c>
    </row>
    <row r="59" spans="1:5">
      <c r="A59">
        <v>136.19999999999999</v>
      </c>
      <c r="B59">
        <v>19.2</v>
      </c>
      <c r="C59">
        <v>16.600000000000001</v>
      </c>
      <c r="D59">
        <v>13.2</v>
      </c>
      <c r="E59">
        <v>12.77459927</v>
      </c>
    </row>
    <row r="60" spans="1:5">
      <c r="A60">
        <v>210.8</v>
      </c>
      <c r="B60">
        <v>49.6</v>
      </c>
      <c r="C60">
        <v>37.700000000000003</v>
      </c>
      <c r="D60">
        <v>23.8</v>
      </c>
      <c r="E60">
        <v>21.898063579999999</v>
      </c>
    </row>
    <row r="61" spans="1:5">
      <c r="A61">
        <v>210.7</v>
      </c>
      <c r="B61">
        <v>29.5</v>
      </c>
      <c r="C61">
        <v>9.3000000000000007</v>
      </c>
      <c r="D61">
        <v>18.399999999999999</v>
      </c>
      <c r="E61">
        <v>18.13349857</v>
      </c>
    </row>
    <row r="62" spans="1:5">
      <c r="A62">
        <v>53.5</v>
      </c>
      <c r="B62">
        <v>2</v>
      </c>
      <c r="C62">
        <v>21.4</v>
      </c>
      <c r="D62">
        <v>8.1</v>
      </c>
      <c r="E62">
        <v>5.7421664589999999</v>
      </c>
    </row>
    <row r="63" spans="1:5">
      <c r="A63">
        <v>261.3</v>
      </c>
      <c r="B63">
        <v>42.7</v>
      </c>
      <c r="C63">
        <v>54.7</v>
      </c>
      <c r="D63">
        <v>24.2</v>
      </c>
      <c r="E63">
        <v>22.890683899999999</v>
      </c>
    </row>
    <row r="64" spans="1:5">
      <c r="A64">
        <v>239.3</v>
      </c>
      <c r="B64">
        <v>15.5</v>
      </c>
      <c r="C64">
        <v>27.3</v>
      </c>
      <c r="D64">
        <v>15.7</v>
      </c>
      <c r="E64">
        <v>16.78427245</v>
      </c>
    </row>
    <row r="65" spans="1:5">
      <c r="A65">
        <v>102.7</v>
      </c>
      <c r="B65">
        <v>29.6</v>
      </c>
      <c r="C65">
        <v>8.4</v>
      </c>
      <c r="D65">
        <v>14</v>
      </c>
      <c r="E65">
        <v>13.21070312</v>
      </c>
    </row>
    <row r="66" spans="1:5">
      <c r="A66">
        <v>131.1</v>
      </c>
      <c r="B66">
        <v>42.8</v>
      </c>
      <c r="C66">
        <v>28.9</v>
      </c>
      <c r="D66">
        <v>18</v>
      </c>
      <c r="E66">
        <v>16.977746790000001</v>
      </c>
    </row>
    <row r="67" spans="1:5">
      <c r="A67">
        <v>69</v>
      </c>
      <c r="B67">
        <v>9.3000000000000007</v>
      </c>
      <c r="C67">
        <v>0.9</v>
      </c>
      <c r="D67">
        <v>9.3000000000000007</v>
      </c>
      <c r="E67">
        <v>7.8490562639999997</v>
      </c>
    </row>
    <row r="68" spans="1:5">
      <c r="A68">
        <v>31.5</v>
      </c>
      <c r="B68">
        <v>24.6</v>
      </c>
      <c r="C68">
        <v>2.2000000000000002</v>
      </c>
      <c r="D68">
        <v>9.5</v>
      </c>
      <c r="E68">
        <v>9.0160424090000006</v>
      </c>
    </row>
    <row r="69" spans="1:5">
      <c r="A69">
        <v>139.30000000000001</v>
      </c>
      <c r="B69">
        <v>14.5</v>
      </c>
      <c r="C69">
        <v>10.199999999999999</v>
      </c>
      <c r="D69">
        <v>13.4</v>
      </c>
      <c r="E69">
        <v>12.03701856</v>
      </c>
    </row>
    <row r="70" spans="1:5">
      <c r="A70">
        <v>237.4</v>
      </c>
      <c r="B70">
        <v>27.5</v>
      </c>
      <c r="C70">
        <v>11</v>
      </c>
      <c r="D70">
        <v>18.899999999999999</v>
      </c>
      <c r="E70">
        <v>18.976590949999999</v>
      </c>
    </row>
    <row r="71" spans="1:5">
      <c r="A71">
        <v>216.8</v>
      </c>
      <c r="B71">
        <v>43.9</v>
      </c>
      <c r="C71">
        <v>27.2</v>
      </c>
      <c r="D71">
        <v>22.3</v>
      </c>
      <c r="E71">
        <v>21.10892406</v>
      </c>
    </row>
    <row r="72" spans="1:5">
      <c r="A72">
        <v>199.1</v>
      </c>
      <c r="B72">
        <v>30.6</v>
      </c>
      <c r="C72">
        <v>38.700000000000003</v>
      </c>
      <c r="D72">
        <v>18.3</v>
      </c>
      <c r="E72">
        <v>17.779509359999999</v>
      </c>
    </row>
    <row r="73" spans="1:5">
      <c r="A73">
        <v>109.8</v>
      </c>
      <c r="B73">
        <v>14.3</v>
      </c>
      <c r="C73">
        <v>31.7</v>
      </c>
      <c r="D73">
        <v>12.4</v>
      </c>
      <c r="E73">
        <v>10.626949290000001</v>
      </c>
    </row>
    <row r="74" spans="1:5">
      <c r="A74">
        <v>26.8</v>
      </c>
      <c r="B74">
        <v>33</v>
      </c>
      <c r="C74">
        <v>19.3</v>
      </c>
      <c r="D74">
        <v>8.8000000000000007</v>
      </c>
      <c r="E74">
        <v>10.366859570000001</v>
      </c>
    </row>
    <row r="75" spans="1:5">
      <c r="A75">
        <v>129.4</v>
      </c>
      <c r="B75">
        <v>5.7</v>
      </c>
      <c r="C75">
        <v>31.3</v>
      </c>
      <c r="D75">
        <v>11</v>
      </c>
      <c r="E75">
        <v>9.9029932760000001</v>
      </c>
    </row>
    <row r="76" spans="1:5">
      <c r="A76">
        <v>213.4</v>
      </c>
      <c r="B76">
        <v>24.6</v>
      </c>
      <c r="C76">
        <v>13.1</v>
      </c>
      <c r="D76">
        <v>17</v>
      </c>
      <c r="E76">
        <v>17.32932357</v>
      </c>
    </row>
    <row r="77" spans="1:5">
      <c r="A77">
        <v>16.899999999999999</v>
      </c>
      <c r="B77">
        <v>43.7</v>
      </c>
      <c r="C77">
        <v>89.4</v>
      </c>
      <c r="D77">
        <v>8.6999999999999993</v>
      </c>
      <c r="E77">
        <v>11.858332450000001</v>
      </c>
    </row>
    <row r="78" spans="1:5">
      <c r="A78">
        <v>27.5</v>
      </c>
      <c r="B78">
        <v>1.6</v>
      </c>
      <c r="C78">
        <v>20.7</v>
      </c>
      <c r="D78">
        <v>6.9</v>
      </c>
      <c r="E78">
        <v>4.4775997969999999</v>
      </c>
    </row>
    <row r="79" spans="1:5">
      <c r="A79">
        <v>120.5</v>
      </c>
      <c r="B79">
        <v>28.5</v>
      </c>
      <c r="C79">
        <v>14.2</v>
      </c>
      <c r="D79">
        <v>14.2</v>
      </c>
      <c r="E79">
        <v>13.811913410000001</v>
      </c>
    </row>
    <row r="80" spans="1:5">
      <c r="A80">
        <v>5.4</v>
      </c>
      <c r="B80">
        <v>29.9</v>
      </c>
      <c r="C80">
        <v>9.4</v>
      </c>
      <c r="D80">
        <v>5.3</v>
      </c>
      <c r="E80">
        <v>8.8133241840000007</v>
      </c>
    </row>
    <row r="81" spans="1:5">
      <c r="A81">
        <v>116</v>
      </c>
      <c r="B81">
        <v>7.7</v>
      </c>
      <c r="C81">
        <v>23.1</v>
      </c>
      <c r="D81">
        <v>11</v>
      </c>
      <c r="E81">
        <v>9.6753144429999995</v>
      </c>
    </row>
    <row r="82" spans="1:5">
      <c r="A82">
        <v>76.400000000000006</v>
      </c>
      <c r="B82">
        <v>26.7</v>
      </c>
      <c r="C82">
        <v>22.3</v>
      </c>
      <c r="D82">
        <v>11.8</v>
      </c>
      <c r="E82">
        <v>11.445934619999999</v>
      </c>
    </row>
    <row r="83" spans="1:5">
      <c r="A83">
        <v>239.8</v>
      </c>
      <c r="B83">
        <v>4.0999999999999996</v>
      </c>
      <c r="C83">
        <v>36.9</v>
      </c>
      <c r="D83">
        <v>12.3</v>
      </c>
      <c r="E83">
        <v>14.647952650000001</v>
      </c>
    </row>
    <row r="84" spans="1:5">
      <c r="A84">
        <v>75.3</v>
      </c>
      <c r="B84">
        <v>20.3</v>
      </c>
      <c r="C84">
        <v>32.5</v>
      </c>
      <c r="D84">
        <v>11.3</v>
      </c>
      <c r="E84">
        <v>10.178418969999999</v>
      </c>
    </row>
    <row r="85" spans="1:5">
      <c r="A85">
        <v>68.400000000000006</v>
      </c>
      <c r="B85">
        <v>44.5</v>
      </c>
      <c r="C85">
        <v>35.6</v>
      </c>
      <c r="D85">
        <v>13.6</v>
      </c>
      <c r="E85">
        <v>14.421853069999999</v>
      </c>
    </row>
    <row r="86" spans="1:5">
      <c r="A86">
        <v>213.5</v>
      </c>
      <c r="B86">
        <v>43</v>
      </c>
      <c r="C86">
        <v>33.799999999999997</v>
      </c>
      <c r="D86">
        <v>21.7</v>
      </c>
      <c r="E86">
        <v>20.78137624</v>
      </c>
    </row>
    <row r="87" spans="1:5">
      <c r="A87">
        <v>193.2</v>
      </c>
      <c r="B87">
        <v>18.399999999999999</v>
      </c>
      <c r="C87">
        <v>65.7</v>
      </c>
      <c r="D87">
        <v>15.2</v>
      </c>
      <c r="E87">
        <v>15.181419399999999</v>
      </c>
    </row>
    <row r="88" spans="1:5">
      <c r="A88">
        <v>76.3</v>
      </c>
      <c r="B88">
        <v>27.5</v>
      </c>
      <c r="C88">
        <v>16</v>
      </c>
      <c r="D88">
        <v>12</v>
      </c>
      <c r="E88">
        <v>11.59871837</v>
      </c>
    </row>
    <row r="89" spans="1:5">
      <c r="A89">
        <v>110.7</v>
      </c>
      <c r="B89">
        <v>40.6</v>
      </c>
      <c r="C89">
        <v>63.2</v>
      </c>
      <c r="D89">
        <v>16</v>
      </c>
      <c r="E89">
        <v>15.593795890000001</v>
      </c>
    </row>
    <row r="90" spans="1:5">
      <c r="A90">
        <v>88.3</v>
      </c>
      <c r="B90">
        <v>25.5</v>
      </c>
      <c r="C90">
        <v>73.400000000000006</v>
      </c>
      <c r="D90">
        <v>12.9</v>
      </c>
      <c r="E90">
        <v>11.71128204</v>
      </c>
    </row>
    <row r="91" spans="1:5">
      <c r="A91">
        <v>109.8</v>
      </c>
      <c r="B91">
        <v>47.8</v>
      </c>
      <c r="C91">
        <v>51.4</v>
      </c>
      <c r="D91">
        <v>16.7</v>
      </c>
      <c r="E91">
        <v>16.922266239999999</v>
      </c>
    </row>
    <row r="92" spans="1:5">
      <c r="A92">
        <v>134.30000000000001</v>
      </c>
      <c r="B92">
        <v>4.9000000000000004</v>
      </c>
      <c r="C92">
        <v>9.3000000000000007</v>
      </c>
      <c r="D92">
        <v>11.2</v>
      </c>
      <c r="E92">
        <v>9.9992408929999996</v>
      </c>
    </row>
    <row r="93" spans="1:5">
      <c r="A93">
        <v>28.6</v>
      </c>
      <c r="B93">
        <v>1.5</v>
      </c>
      <c r="C93">
        <v>33</v>
      </c>
      <c r="D93">
        <v>7.3</v>
      </c>
      <c r="E93">
        <v>4.4963267470000003</v>
      </c>
    </row>
    <row r="94" spans="1:5">
      <c r="A94">
        <v>217.7</v>
      </c>
      <c r="B94">
        <v>33.5</v>
      </c>
      <c r="C94">
        <v>59</v>
      </c>
      <c r="D94">
        <v>19.399999999999999</v>
      </c>
      <c r="E94">
        <v>19.156407789999999</v>
      </c>
    </row>
    <row r="95" spans="1:5">
      <c r="A95">
        <v>250.9</v>
      </c>
      <c r="B95">
        <v>36.5</v>
      </c>
      <c r="C95">
        <v>72.3</v>
      </c>
      <c r="D95">
        <v>22.2</v>
      </c>
      <c r="E95">
        <v>21.227585560000001</v>
      </c>
    </row>
    <row r="96" spans="1:5">
      <c r="A96">
        <v>107.4</v>
      </c>
      <c r="B96">
        <v>14</v>
      </c>
      <c r="C96">
        <v>10.9</v>
      </c>
      <c r="D96">
        <v>11.5</v>
      </c>
      <c r="E96">
        <v>10.482134970000001</v>
      </c>
    </row>
    <row r="97" spans="1:5">
      <c r="A97">
        <v>163.30000000000001</v>
      </c>
      <c r="B97">
        <v>31.6</v>
      </c>
      <c r="C97">
        <v>52.9</v>
      </c>
      <c r="D97">
        <v>16.899999999999999</v>
      </c>
      <c r="E97">
        <v>16.314932500000001</v>
      </c>
    </row>
    <row r="98" spans="1:5">
      <c r="A98">
        <v>197.6</v>
      </c>
      <c r="B98">
        <v>3.5</v>
      </c>
      <c r="C98">
        <v>5.9</v>
      </c>
      <c r="D98">
        <v>11.7</v>
      </c>
      <c r="E98">
        <v>12.635728690000001</v>
      </c>
    </row>
    <row r="99" spans="1:5">
      <c r="A99">
        <v>184.9</v>
      </c>
      <c r="B99">
        <v>21</v>
      </c>
      <c r="C99">
        <v>22</v>
      </c>
      <c r="D99">
        <v>15.5</v>
      </c>
      <c r="E99">
        <v>15.337089300000001</v>
      </c>
    </row>
    <row r="100" spans="1:5">
      <c r="A100">
        <v>289.7</v>
      </c>
      <c r="B100">
        <v>42.3</v>
      </c>
      <c r="C100">
        <v>51.2</v>
      </c>
      <c r="D100">
        <v>25.4</v>
      </c>
      <c r="E100">
        <v>24.11861918</v>
      </c>
    </row>
    <row r="101" spans="1:5">
      <c r="A101">
        <v>135.19999999999999</v>
      </c>
      <c r="B101">
        <v>41.7</v>
      </c>
      <c r="C101">
        <v>45.9</v>
      </c>
      <c r="D101">
        <v>17.2</v>
      </c>
      <c r="E101">
        <v>16.940361459999998</v>
      </c>
    </row>
    <row r="102" spans="1:5">
      <c r="A102">
        <v>222.4</v>
      </c>
      <c r="B102">
        <v>4.3</v>
      </c>
      <c r="C102">
        <v>49.8</v>
      </c>
      <c r="D102">
        <v>11.7</v>
      </c>
      <c r="E102">
        <v>13.87597008</v>
      </c>
    </row>
    <row r="103" spans="1:5">
      <c r="A103">
        <v>296.39999999999998</v>
      </c>
      <c r="B103">
        <v>36.299999999999997</v>
      </c>
      <c r="C103">
        <v>100.9</v>
      </c>
      <c r="D103">
        <v>23.8</v>
      </c>
      <c r="E103">
        <v>23.242498829999999</v>
      </c>
    </row>
    <row r="104" spans="1:5">
      <c r="A104">
        <v>280.2</v>
      </c>
      <c r="B104">
        <v>10.1</v>
      </c>
      <c r="C104">
        <v>21.4</v>
      </c>
      <c r="D104">
        <v>14.8</v>
      </c>
      <c r="E104">
        <v>17.644105750000001</v>
      </c>
    </row>
    <row r="105" spans="1:5">
      <c r="A105">
        <v>187.9</v>
      </c>
      <c r="B105">
        <v>17.2</v>
      </c>
      <c r="C105">
        <v>17.899999999999999</v>
      </c>
      <c r="D105">
        <v>14.7</v>
      </c>
      <c r="E105">
        <v>14.762222899999999</v>
      </c>
    </row>
    <row r="106" spans="1:5">
      <c r="A106">
        <v>238.2</v>
      </c>
      <c r="B106">
        <v>34.299999999999997</v>
      </c>
      <c r="C106">
        <v>5.3</v>
      </c>
      <c r="D106">
        <v>20.7</v>
      </c>
      <c r="E106">
        <v>20.3011205</v>
      </c>
    </row>
    <row r="107" spans="1:5">
      <c r="A107">
        <v>137.9</v>
      </c>
      <c r="B107">
        <v>46.4</v>
      </c>
      <c r="C107">
        <v>59</v>
      </c>
      <c r="D107">
        <v>19.2</v>
      </c>
      <c r="E107">
        <v>17.936425939999999</v>
      </c>
    </row>
    <row r="108" spans="1:5">
      <c r="A108">
        <v>25</v>
      </c>
      <c r="B108">
        <v>11</v>
      </c>
      <c r="C108">
        <v>29.7</v>
      </c>
      <c r="D108">
        <v>7.2</v>
      </c>
      <c r="E108">
        <v>6.1260328949999998</v>
      </c>
    </row>
    <row r="109" spans="1:5">
      <c r="A109">
        <v>90.4</v>
      </c>
      <c r="B109">
        <v>0.3</v>
      </c>
      <c r="C109">
        <v>23.2</v>
      </c>
      <c r="D109">
        <v>8.6999999999999993</v>
      </c>
      <c r="E109">
        <v>7.1085135279999996</v>
      </c>
    </row>
    <row r="110" spans="1:5">
      <c r="A110">
        <v>13.1</v>
      </c>
      <c r="B110">
        <v>0.4</v>
      </c>
      <c r="C110">
        <v>25.6</v>
      </c>
      <c r="D110">
        <v>5.3</v>
      </c>
      <c r="E110">
        <v>3.587269101</v>
      </c>
    </row>
    <row r="111" spans="1:5">
      <c r="A111">
        <v>255.4</v>
      </c>
      <c r="B111">
        <v>26.9</v>
      </c>
      <c r="C111">
        <v>5.5</v>
      </c>
      <c r="D111">
        <v>19.8</v>
      </c>
      <c r="E111">
        <v>19.692942859999999</v>
      </c>
    </row>
    <row r="112" spans="1:5">
      <c r="A112">
        <v>225.8</v>
      </c>
      <c r="B112">
        <v>8.1999999999999993</v>
      </c>
      <c r="C112">
        <v>56.5</v>
      </c>
      <c r="D112">
        <v>13.4</v>
      </c>
      <c r="E112">
        <v>14.75988575</v>
      </c>
    </row>
    <row r="113" spans="1:5">
      <c r="A113">
        <v>241.7</v>
      </c>
      <c r="B113">
        <v>38</v>
      </c>
      <c r="C113">
        <v>23.2</v>
      </c>
      <c r="D113">
        <v>21.8</v>
      </c>
      <c r="E113">
        <v>21.140286710000002</v>
      </c>
    </row>
    <row r="114" spans="1:5">
      <c r="A114">
        <v>175.7</v>
      </c>
      <c r="B114">
        <v>15.4</v>
      </c>
      <c r="C114">
        <v>2.4</v>
      </c>
      <c r="D114">
        <v>14.1</v>
      </c>
      <c r="E114">
        <v>13.88062128</v>
      </c>
    </row>
    <row r="115" spans="1:5">
      <c r="A115">
        <v>209.6</v>
      </c>
      <c r="B115">
        <v>20.6</v>
      </c>
      <c r="C115">
        <v>10.7</v>
      </c>
      <c r="D115">
        <v>15.9</v>
      </c>
      <c r="E115">
        <v>16.403787820000002</v>
      </c>
    </row>
    <row r="116" spans="1:5">
      <c r="A116">
        <v>78.2</v>
      </c>
      <c r="B116">
        <v>46.8</v>
      </c>
      <c r="C116">
        <v>34.5</v>
      </c>
      <c r="D116">
        <v>14.6</v>
      </c>
      <c r="E116">
        <v>15.30510692</v>
      </c>
    </row>
    <row r="117" spans="1:5">
      <c r="A117">
        <v>75.099999999999994</v>
      </c>
      <c r="B117">
        <v>35</v>
      </c>
      <c r="C117">
        <v>52.7</v>
      </c>
      <c r="D117">
        <v>12.6</v>
      </c>
      <c r="E117">
        <v>12.91969993</v>
      </c>
    </row>
    <row r="118" spans="1:5">
      <c r="A118">
        <v>139.19999999999999</v>
      </c>
      <c r="B118">
        <v>14.3</v>
      </c>
      <c r="C118">
        <v>25.6</v>
      </c>
      <c r="D118">
        <v>12.2</v>
      </c>
      <c r="E118">
        <v>11.9787587</v>
      </c>
    </row>
    <row r="119" spans="1:5">
      <c r="A119">
        <v>76.400000000000006</v>
      </c>
      <c r="B119">
        <v>0.8</v>
      </c>
      <c r="C119">
        <v>14.8</v>
      </c>
      <c r="D119">
        <v>9.4</v>
      </c>
      <c r="E119">
        <v>6.5707883770000004</v>
      </c>
    </row>
    <row r="120" spans="1:5">
      <c r="A120">
        <v>125.7</v>
      </c>
      <c r="B120">
        <v>36.9</v>
      </c>
      <c r="C120">
        <v>79.2</v>
      </c>
      <c r="D120">
        <v>15.9</v>
      </c>
      <c r="E120">
        <v>15.56610469</v>
      </c>
    </row>
    <row r="121" spans="1:5">
      <c r="A121">
        <v>19.399999999999999</v>
      </c>
      <c r="B121">
        <v>16</v>
      </c>
      <c r="C121">
        <v>22.3</v>
      </c>
      <c r="D121">
        <v>6.6</v>
      </c>
      <c r="E121">
        <v>6.8200783879999998</v>
      </c>
    </row>
    <row r="122" spans="1:5">
      <c r="A122">
        <v>141.30000000000001</v>
      </c>
      <c r="B122">
        <v>26.8</v>
      </c>
      <c r="C122">
        <v>46.2</v>
      </c>
      <c r="D122">
        <v>15.5</v>
      </c>
      <c r="E122">
        <v>14.410117319999999</v>
      </c>
    </row>
    <row r="123" spans="1:5">
      <c r="A123">
        <v>18.8</v>
      </c>
      <c r="B123">
        <v>21.7</v>
      </c>
      <c r="C123">
        <v>50.4</v>
      </c>
      <c r="D123">
        <v>7</v>
      </c>
      <c r="E123">
        <v>7.838087142</v>
      </c>
    </row>
    <row r="124" spans="1:5">
      <c r="A124">
        <v>224</v>
      </c>
      <c r="B124">
        <v>2.4</v>
      </c>
      <c r="C124">
        <v>15.6</v>
      </c>
      <c r="D124">
        <v>11.6</v>
      </c>
      <c r="E124">
        <v>13.626468750000001</v>
      </c>
    </row>
    <row r="125" spans="1:5">
      <c r="A125">
        <v>123.1</v>
      </c>
      <c r="B125">
        <v>34.6</v>
      </c>
      <c r="C125">
        <v>12.4</v>
      </c>
      <c r="D125">
        <v>15.2</v>
      </c>
      <c r="E125">
        <v>15.082802089999999</v>
      </c>
    </row>
    <row r="126" spans="1:5">
      <c r="A126">
        <v>229.5</v>
      </c>
      <c r="B126">
        <v>32.299999999999997</v>
      </c>
      <c r="C126">
        <v>74.2</v>
      </c>
      <c r="D126">
        <v>19.7</v>
      </c>
      <c r="E126">
        <v>19.45442474</v>
      </c>
    </row>
    <row r="127" spans="1:5">
      <c r="A127">
        <v>87.2</v>
      </c>
      <c r="B127">
        <v>11.8</v>
      </c>
      <c r="C127">
        <v>25.9</v>
      </c>
      <c r="D127">
        <v>10.6</v>
      </c>
      <c r="E127">
        <v>9.1273606120000004</v>
      </c>
    </row>
    <row r="128" spans="1:5">
      <c r="A128">
        <v>7.8</v>
      </c>
      <c r="B128">
        <v>38.9</v>
      </c>
      <c r="C128">
        <v>50.6</v>
      </c>
      <c r="D128">
        <v>6.6</v>
      </c>
      <c r="E128">
        <v>10.57718479</v>
      </c>
    </row>
    <row r="129" spans="1:5">
      <c r="A129">
        <v>80.2</v>
      </c>
      <c r="B129">
        <v>0</v>
      </c>
      <c r="C129">
        <v>9.1999999999999993</v>
      </c>
      <c r="D129">
        <v>8.8000000000000007</v>
      </c>
      <c r="E129">
        <v>6.5996799939999997</v>
      </c>
    </row>
    <row r="130" spans="1:5">
      <c r="A130">
        <v>220.3</v>
      </c>
      <c r="B130">
        <v>49</v>
      </c>
      <c r="C130">
        <v>3.2</v>
      </c>
      <c r="D130">
        <v>24.7</v>
      </c>
      <c r="E130">
        <v>22.25550325</v>
      </c>
    </row>
    <row r="131" spans="1:5">
      <c r="A131">
        <v>59.6</v>
      </c>
      <c r="B131">
        <v>12</v>
      </c>
      <c r="C131">
        <v>43.1</v>
      </c>
      <c r="D131">
        <v>9.6999999999999993</v>
      </c>
      <c r="E131">
        <v>7.8841173959999997</v>
      </c>
    </row>
    <row r="132" spans="1:5">
      <c r="A132">
        <v>0.7</v>
      </c>
      <c r="B132">
        <v>39.6</v>
      </c>
      <c r="C132">
        <v>8.6999999999999993</v>
      </c>
      <c r="D132">
        <v>1.6</v>
      </c>
      <c r="E132">
        <v>10.427697739999999</v>
      </c>
    </row>
    <row r="133" spans="1:5">
      <c r="A133">
        <v>265.2</v>
      </c>
      <c r="B133">
        <v>2.9</v>
      </c>
      <c r="C133">
        <v>43</v>
      </c>
      <c r="D133">
        <v>12.7</v>
      </c>
      <c r="E133">
        <v>15.57781003</v>
      </c>
    </row>
    <row r="134" spans="1:5">
      <c r="A134">
        <v>8.4</v>
      </c>
      <c r="B134">
        <v>27.2</v>
      </c>
      <c r="C134">
        <v>2.1</v>
      </c>
      <c r="D134">
        <v>5.7</v>
      </c>
      <c r="E134">
        <v>8.4491607870000003</v>
      </c>
    </row>
    <row r="135" spans="1:5">
      <c r="A135">
        <v>219.8</v>
      </c>
      <c r="B135">
        <v>33.5</v>
      </c>
      <c r="C135">
        <v>45.1</v>
      </c>
      <c r="D135">
        <v>19.600000000000001</v>
      </c>
      <c r="E135">
        <v>19.266934710000001</v>
      </c>
    </row>
    <row r="136" spans="1:5">
      <c r="A136">
        <v>36.9</v>
      </c>
      <c r="B136">
        <v>38.6</v>
      </c>
      <c r="C136">
        <v>65.599999999999994</v>
      </c>
      <c r="D136">
        <v>10.8</v>
      </c>
      <c r="E136">
        <v>11.8368147</v>
      </c>
    </row>
    <row r="137" spans="1:5">
      <c r="A137">
        <v>48.3</v>
      </c>
      <c r="B137">
        <v>47</v>
      </c>
      <c r="C137">
        <v>8.5</v>
      </c>
      <c r="D137">
        <v>11.6</v>
      </c>
      <c r="E137">
        <v>14.001424699999999</v>
      </c>
    </row>
    <row r="138" spans="1:5">
      <c r="A138">
        <v>25.6</v>
      </c>
      <c r="B138">
        <v>39</v>
      </c>
      <c r="C138">
        <v>9.3000000000000007</v>
      </c>
      <c r="D138">
        <v>9.5</v>
      </c>
      <c r="E138">
        <v>11.45349702</v>
      </c>
    </row>
    <row r="139" spans="1:5">
      <c r="A139">
        <v>273.7</v>
      </c>
      <c r="B139">
        <v>28.9</v>
      </c>
      <c r="C139">
        <v>59.7</v>
      </c>
      <c r="D139">
        <v>20.8</v>
      </c>
      <c r="E139">
        <v>20.85126386</v>
      </c>
    </row>
    <row r="140" spans="1:5">
      <c r="A140">
        <v>43</v>
      </c>
      <c r="B140">
        <v>25.9</v>
      </c>
      <c r="C140">
        <v>20.5</v>
      </c>
      <c r="D140">
        <v>9.6</v>
      </c>
      <c r="E140">
        <v>9.7684387840000007</v>
      </c>
    </row>
    <row r="141" spans="1:5">
      <c r="A141">
        <v>184.9</v>
      </c>
      <c r="B141">
        <v>43.9</v>
      </c>
      <c r="C141">
        <v>1.7</v>
      </c>
      <c r="D141">
        <v>20.7</v>
      </c>
      <c r="E141">
        <v>19.675487789999998</v>
      </c>
    </row>
    <row r="142" spans="1:5">
      <c r="A142">
        <v>73.400000000000006</v>
      </c>
      <c r="B142">
        <v>17</v>
      </c>
      <c r="C142">
        <v>12.9</v>
      </c>
      <c r="D142">
        <v>10.9</v>
      </c>
      <c r="E142">
        <v>9.4896519389999998</v>
      </c>
    </row>
    <row r="143" spans="1:5">
      <c r="A143">
        <v>193.7</v>
      </c>
      <c r="B143">
        <v>35.4</v>
      </c>
      <c r="C143">
        <v>75.599999999999994</v>
      </c>
      <c r="D143">
        <v>19.2</v>
      </c>
      <c r="E143">
        <v>18.399040840000001</v>
      </c>
    </row>
    <row r="144" spans="1:5">
      <c r="A144">
        <v>220.5</v>
      </c>
      <c r="B144">
        <v>33.200000000000003</v>
      </c>
      <c r="C144">
        <v>37.9</v>
      </c>
      <c r="D144">
        <v>20.100000000000001</v>
      </c>
      <c r="E144">
        <v>19.249880900000001</v>
      </c>
    </row>
    <row r="145" spans="1:5">
      <c r="A145">
        <v>104.6</v>
      </c>
      <c r="B145">
        <v>5.7</v>
      </c>
      <c r="C145">
        <v>34.4</v>
      </c>
      <c r="D145">
        <v>10.4</v>
      </c>
      <c r="E145">
        <v>8.764813728</v>
      </c>
    </row>
    <row r="146" spans="1:5">
      <c r="A146">
        <v>96.2</v>
      </c>
      <c r="B146">
        <v>14.8</v>
      </c>
      <c r="C146">
        <v>38.9</v>
      </c>
      <c r="D146">
        <v>11.4</v>
      </c>
      <c r="E146">
        <v>10.0913451</v>
      </c>
    </row>
    <row r="147" spans="1:5">
      <c r="A147">
        <v>140.30000000000001</v>
      </c>
      <c r="B147">
        <v>1.9</v>
      </c>
      <c r="C147">
        <v>9</v>
      </c>
      <c r="D147">
        <v>10.3</v>
      </c>
      <c r="E147">
        <v>9.7085499899999999</v>
      </c>
    </row>
    <row r="148" spans="1:5">
      <c r="A148">
        <v>240.1</v>
      </c>
      <c r="B148">
        <v>7.3</v>
      </c>
      <c r="C148">
        <v>8.6999999999999993</v>
      </c>
      <c r="D148">
        <v>13.2</v>
      </c>
      <c r="E148">
        <v>15.2942354</v>
      </c>
    </row>
    <row r="149" spans="1:5">
      <c r="A149">
        <v>243.2</v>
      </c>
      <c r="B149">
        <v>49</v>
      </c>
      <c r="C149">
        <v>44.3</v>
      </c>
      <c r="D149">
        <v>25.4</v>
      </c>
      <c r="E149">
        <v>23.260872769999999</v>
      </c>
    </row>
    <row r="150" spans="1:5">
      <c r="A150">
        <v>38</v>
      </c>
      <c r="B150">
        <v>40.299999999999997</v>
      </c>
      <c r="C150">
        <v>11.9</v>
      </c>
      <c r="D150">
        <v>10.9</v>
      </c>
      <c r="E150">
        <v>12.263370220000001</v>
      </c>
    </row>
    <row r="151" spans="1:5">
      <c r="A151">
        <v>44.7</v>
      </c>
      <c r="B151">
        <v>25.8</v>
      </c>
      <c r="C151">
        <v>20.6</v>
      </c>
      <c r="D151">
        <v>10.1</v>
      </c>
      <c r="E151">
        <v>9.8272819380000005</v>
      </c>
    </row>
    <row r="152" spans="1:5">
      <c r="A152">
        <v>280.7</v>
      </c>
      <c r="B152">
        <v>13.9</v>
      </c>
      <c r="C152">
        <v>37</v>
      </c>
      <c r="D152">
        <v>16.100000000000001</v>
      </c>
      <c r="E152">
        <v>18.367217249999999</v>
      </c>
    </row>
    <row r="153" spans="1:5">
      <c r="A153">
        <v>121</v>
      </c>
      <c r="B153">
        <v>8.4</v>
      </c>
      <c r="C153">
        <v>48.7</v>
      </c>
      <c r="D153">
        <v>11.6</v>
      </c>
      <c r="E153">
        <v>10.009548880000001</v>
      </c>
    </row>
    <row r="154" spans="1:5">
      <c r="A154">
        <v>197.6</v>
      </c>
      <c r="B154">
        <v>23.3</v>
      </c>
      <c r="C154">
        <v>14.2</v>
      </c>
      <c r="D154">
        <v>16.600000000000001</v>
      </c>
      <c r="E154">
        <v>16.360011839999999</v>
      </c>
    </row>
    <row r="155" spans="1:5">
      <c r="A155">
        <v>171.3</v>
      </c>
      <c r="B155">
        <v>39.700000000000003</v>
      </c>
      <c r="C155">
        <v>37.700000000000003</v>
      </c>
      <c r="D155">
        <v>19</v>
      </c>
      <c r="E155">
        <v>18.223912729999999</v>
      </c>
    </row>
    <row r="156" spans="1:5">
      <c r="A156">
        <v>187.8</v>
      </c>
      <c r="B156">
        <v>21.1</v>
      </c>
      <c r="C156">
        <v>9.5</v>
      </c>
      <c r="D156">
        <v>15.6</v>
      </c>
      <c r="E156">
        <v>15.50162845</v>
      </c>
    </row>
    <row r="157" spans="1:5">
      <c r="A157">
        <v>4.0999999999999996</v>
      </c>
      <c r="B157">
        <v>11.6</v>
      </c>
      <c r="C157">
        <v>5.7</v>
      </c>
      <c r="D157">
        <v>3.2</v>
      </c>
      <c r="E157">
        <v>5.3075695520000004</v>
      </c>
    </row>
    <row r="158" spans="1:5">
      <c r="A158">
        <v>93.9</v>
      </c>
      <c r="B158">
        <v>43.5</v>
      </c>
      <c r="C158">
        <v>50.5</v>
      </c>
      <c r="D158">
        <v>15.3</v>
      </c>
      <c r="E158">
        <v>15.384862979999999</v>
      </c>
    </row>
    <row r="159" spans="1:5">
      <c r="A159">
        <v>149.80000000000001</v>
      </c>
      <c r="B159">
        <v>1.3</v>
      </c>
      <c r="C159">
        <v>24.3</v>
      </c>
      <c r="D159">
        <v>10.1</v>
      </c>
      <c r="E159">
        <v>10.01432251</v>
      </c>
    </row>
    <row r="160" spans="1:5">
      <c r="A160">
        <v>11.7</v>
      </c>
      <c r="B160">
        <v>36.9</v>
      </c>
      <c r="C160">
        <v>45.2</v>
      </c>
      <c r="D160">
        <v>7.3</v>
      </c>
      <c r="E160">
        <v>10.384209350000001</v>
      </c>
    </row>
    <row r="161" spans="1:5">
      <c r="A161">
        <v>131.69999999999999</v>
      </c>
      <c r="B161">
        <v>18.399999999999999</v>
      </c>
      <c r="C161">
        <v>34.6</v>
      </c>
      <c r="D161">
        <v>12.9</v>
      </c>
      <c r="E161">
        <v>12.39915946</v>
      </c>
    </row>
    <row r="162" spans="1:5">
      <c r="A162">
        <v>172.5</v>
      </c>
      <c r="B162">
        <v>18.100000000000001</v>
      </c>
      <c r="C162">
        <v>30.7</v>
      </c>
      <c r="D162">
        <v>14.4</v>
      </c>
      <c r="E162">
        <v>14.213844399999999</v>
      </c>
    </row>
    <row r="163" spans="1:5">
      <c r="A163">
        <v>85.7</v>
      </c>
      <c r="B163">
        <v>35.799999999999997</v>
      </c>
      <c r="C163">
        <v>49.3</v>
      </c>
      <c r="D163">
        <v>13.3</v>
      </c>
      <c r="E163">
        <v>13.55915671</v>
      </c>
    </row>
    <row r="164" spans="1:5">
      <c r="A164">
        <v>188.4</v>
      </c>
      <c r="B164">
        <v>18.100000000000001</v>
      </c>
      <c r="C164">
        <v>25.6</v>
      </c>
      <c r="D164">
        <v>14.9</v>
      </c>
      <c r="E164">
        <v>14.946793550000001</v>
      </c>
    </row>
    <row r="165" spans="1:5">
      <c r="A165">
        <v>163.5</v>
      </c>
      <c r="B165">
        <v>36.799999999999997</v>
      </c>
      <c r="C165">
        <v>7.4</v>
      </c>
      <c r="D165">
        <v>18</v>
      </c>
      <c r="E165">
        <v>17.351647450000002</v>
      </c>
    </row>
    <row r="166" spans="1:5">
      <c r="A166">
        <v>117.2</v>
      </c>
      <c r="B166">
        <v>14.7</v>
      </c>
      <c r="C166">
        <v>5.4</v>
      </c>
      <c r="D166">
        <v>11.9</v>
      </c>
      <c r="E166">
        <v>11.06830577</v>
      </c>
    </row>
    <row r="167" spans="1:5">
      <c r="A167">
        <v>234.5</v>
      </c>
      <c r="B167">
        <v>3.4</v>
      </c>
      <c r="C167">
        <v>84.8</v>
      </c>
      <c r="D167">
        <v>11.9</v>
      </c>
      <c r="E167">
        <v>14.223733080000001</v>
      </c>
    </row>
    <row r="168" spans="1:5">
      <c r="A168">
        <v>17.899999999999999</v>
      </c>
      <c r="B168">
        <v>37.6</v>
      </c>
      <c r="C168">
        <v>21.6</v>
      </c>
      <c r="D168">
        <v>8</v>
      </c>
      <c r="E168">
        <v>10.82440603</v>
      </c>
    </row>
    <row r="169" spans="1:5">
      <c r="A169">
        <v>206.8</v>
      </c>
      <c r="B169">
        <v>5.2</v>
      </c>
      <c r="C169">
        <v>19.399999999999999</v>
      </c>
      <c r="D169">
        <v>12.2</v>
      </c>
      <c r="E169">
        <v>13.36325834</v>
      </c>
    </row>
    <row r="170" spans="1:5">
      <c r="A170">
        <v>215.4</v>
      </c>
      <c r="B170">
        <v>23.6</v>
      </c>
      <c r="C170">
        <v>57.6</v>
      </c>
      <c r="D170">
        <v>17.100000000000001</v>
      </c>
      <c r="E170">
        <v>17.18615441</v>
      </c>
    </row>
    <row r="171" spans="1:5">
      <c r="A171">
        <v>284.3</v>
      </c>
      <c r="B171">
        <v>10.6</v>
      </c>
      <c r="C171">
        <v>6.4</v>
      </c>
      <c r="D171">
        <v>15</v>
      </c>
      <c r="E171">
        <v>17.941568220000001</v>
      </c>
    </row>
    <row r="172" spans="1:5">
      <c r="A172">
        <v>50</v>
      </c>
      <c r="B172">
        <v>11.6</v>
      </c>
      <c r="C172">
        <v>18.399999999999999</v>
      </c>
      <c r="D172">
        <v>8.4</v>
      </c>
      <c r="E172">
        <v>7.3949908259999999</v>
      </c>
    </row>
    <row r="173" spans="1:5">
      <c r="A173">
        <v>164.5</v>
      </c>
      <c r="B173">
        <v>20.9</v>
      </c>
      <c r="C173">
        <v>47.4</v>
      </c>
      <c r="D173">
        <v>14.5</v>
      </c>
      <c r="E173">
        <v>14.358285110000001</v>
      </c>
    </row>
    <row r="174" spans="1:5">
      <c r="A174">
        <v>19.600000000000001</v>
      </c>
      <c r="B174">
        <v>20.100000000000001</v>
      </c>
      <c r="C174">
        <v>17</v>
      </c>
      <c r="D174">
        <v>7.6</v>
      </c>
      <c r="E174">
        <v>7.6077031010000002</v>
      </c>
    </row>
    <row r="175" spans="1:5">
      <c r="A175">
        <v>168.4</v>
      </c>
      <c r="B175">
        <v>7.1</v>
      </c>
      <c r="C175">
        <v>12.8</v>
      </c>
      <c r="D175">
        <v>11.7</v>
      </c>
      <c r="E175">
        <v>11.970950269999999</v>
      </c>
    </row>
    <row r="176" spans="1:5">
      <c r="A176">
        <v>222.4</v>
      </c>
      <c r="B176">
        <v>3.4</v>
      </c>
      <c r="C176">
        <v>13.1</v>
      </c>
      <c r="D176">
        <v>11.5</v>
      </c>
      <c r="E176">
        <v>13.74436906</v>
      </c>
    </row>
    <row r="177" spans="1:5">
      <c r="A177">
        <v>276.89999999999998</v>
      </c>
      <c r="B177">
        <v>48.9</v>
      </c>
      <c r="C177">
        <v>41.8</v>
      </c>
      <c r="D177">
        <v>27</v>
      </c>
      <c r="E177">
        <v>24.786882210000002</v>
      </c>
    </row>
    <row r="178" spans="1:5">
      <c r="A178">
        <v>248.4</v>
      </c>
      <c r="B178">
        <v>30.2</v>
      </c>
      <c r="C178">
        <v>20.3</v>
      </c>
      <c r="D178">
        <v>20.2</v>
      </c>
      <c r="E178">
        <v>19.979384469999999</v>
      </c>
    </row>
    <row r="179" spans="1:5">
      <c r="A179">
        <v>170.2</v>
      </c>
      <c r="B179">
        <v>7.8</v>
      </c>
      <c r="C179">
        <v>35.200000000000003</v>
      </c>
      <c r="D179">
        <v>11.7</v>
      </c>
      <c r="E179">
        <v>12.16205781</v>
      </c>
    </row>
    <row r="180" spans="1:5">
      <c r="A180">
        <v>276.7</v>
      </c>
      <c r="B180">
        <v>2.2999999999999998</v>
      </c>
      <c r="C180">
        <v>23.7</v>
      </c>
      <c r="D180">
        <v>11.8</v>
      </c>
      <c r="E180">
        <v>16.01100911</v>
      </c>
    </row>
    <row r="181" spans="1:5">
      <c r="A181">
        <v>165.6</v>
      </c>
      <c r="B181">
        <v>10</v>
      </c>
      <c r="C181">
        <v>17.600000000000001</v>
      </c>
      <c r="D181">
        <v>12.6</v>
      </c>
      <c r="E181">
        <v>12.38456633</v>
      </c>
    </row>
    <row r="182" spans="1:5">
      <c r="A182">
        <v>156.6</v>
      </c>
      <c r="B182">
        <v>2.6</v>
      </c>
      <c r="C182">
        <v>8.3000000000000007</v>
      </c>
      <c r="D182">
        <v>10.5</v>
      </c>
      <c r="E182">
        <v>10.58721104</v>
      </c>
    </row>
    <row r="183" spans="1:5">
      <c r="A183">
        <v>218.5</v>
      </c>
      <c r="B183">
        <v>5.4</v>
      </c>
      <c r="C183">
        <v>27.4</v>
      </c>
      <c r="D183">
        <v>12.2</v>
      </c>
      <c r="E183">
        <v>13.92811081</v>
      </c>
    </row>
    <row r="184" spans="1:5">
      <c r="A184">
        <v>56.2</v>
      </c>
      <c r="B184">
        <v>5.7</v>
      </c>
      <c r="C184">
        <v>29.7</v>
      </c>
      <c r="D184">
        <v>8.6999999999999993</v>
      </c>
      <c r="E184">
        <v>6.5546808849999998</v>
      </c>
    </row>
    <row r="185" spans="1:5">
      <c r="A185">
        <v>287.60000000000002</v>
      </c>
      <c r="B185">
        <v>43</v>
      </c>
      <c r="C185">
        <v>71.8</v>
      </c>
      <c r="D185">
        <v>26.2</v>
      </c>
      <c r="E185">
        <v>24.133112069999999</v>
      </c>
    </row>
    <row r="186" spans="1:5">
      <c r="A186">
        <v>253.8</v>
      </c>
      <c r="B186">
        <v>21.3</v>
      </c>
      <c r="C186">
        <v>30</v>
      </c>
      <c r="D186">
        <v>17.600000000000001</v>
      </c>
      <c r="E186">
        <v>18.538532740000001</v>
      </c>
    </row>
    <row r="187" spans="1:5">
      <c r="A187">
        <v>205</v>
      </c>
      <c r="B187">
        <v>45.1</v>
      </c>
      <c r="C187">
        <v>19.600000000000001</v>
      </c>
      <c r="D187">
        <v>22.6</v>
      </c>
      <c r="E187">
        <v>20.80302215</v>
      </c>
    </row>
    <row r="188" spans="1:5">
      <c r="A188">
        <v>139.5</v>
      </c>
      <c r="B188">
        <v>2.1</v>
      </c>
      <c r="C188">
        <v>26.6</v>
      </c>
      <c r="D188">
        <v>10.3</v>
      </c>
      <c r="E188">
        <v>9.6913843970000002</v>
      </c>
    </row>
    <row r="189" spans="1:5">
      <c r="A189">
        <v>191.1</v>
      </c>
      <c r="B189">
        <v>28.7</v>
      </c>
      <c r="C189">
        <v>18.2</v>
      </c>
      <c r="D189">
        <v>17.3</v>
      </c>
      <c r="E189">
        <v>17.076453730000001</v>
      </c>
    </row>
    <row r="190" spans="1:5">
      <c r="A190">
        <v>286</v>
      </c>
      <c r="B190">
        <v>13.9</v>
      </c>
      <c r="C190">
        <v>3.7</v>
      </c>
      <c r="D190">
        <v>15.9</v>
      </c>
      <c r="E190">
        <v>18.64431841</v>
      </c>
    </row>
    <row r="191" spans="1:5">
      <c r="A191">
        <v>18.7</v>
      </c>
      <c r="B191">
        <v>12.1</v>
      </c>
      <c r="C191">
        <v>23.4</v>
      </c>
      <c r="D191">
        <v>6.7</v>
      </c>
      <c r="E191">
        <v>6.0516348249999998</v>
      </c>
    </row>
    <row r="192" spans="1:5">
      <c r="A192">
        <v>39.5</v>
      </c>
      <c r="B192">
        <v>41.1</v>
      </c>
      <c r="C192">
        <v>5.8</v>
      </c>
      <c r="D192">
        <v>10.8</v>
      </c>
      <c r="E192">
        <v>12.489169909999999</v>
      </c>
    </row>
    <row r="193" spans="1:9">
      <c r="A193">
        <v>75.5</v>
      </c>
      <c r="B193">
        <v>10.8</v>
      </c>
      <c r="C193">
        <v>6</v>
      </c>
      <c r="D193">
        <v>9.9</v>
      </c>
      <c r="E193">
        <v>8.4240303010000002</v>
      </c>
    </row>
    <row r="194" spans="1:9">
      <c r="A194">
        <v>17.2</v>
      </c>
      <c r="B194">
        <v>4.0999999999999996</v>
      </c>
      <c r="C194">
        <v>31.6</v>
      </c>
      <c r="D194">
        <v>5.9</v>
      </c>
      <c r="E194">
        <v>4.4662402710000002</v>
      </c>
    </row>
    <row r="195" spans="1:9">
      <c r="A195">
        <v>166.8</v>
      </c>
      <c r="B195">
        <v>42</v>
      </c>
      <c r="C195">
        <v>3.6</v>
      </c>
      <c r="D195">
        <v>19.600000000000001</v>
      </c>
      <c r="E195">
        <v>18.48696936</v>
      </c>
    </row>
    <row r="196" spans="1:9">
      <c r="A196">
        <v>149.69999999999999</v>
      </c>
      <c r="B196">
        <v>35.6</v>
      </c>
      <c r="C196">
        <v>6</v>
      </c>
      <c r="D196">
        <v>17.3</v>
      </c>
      <c r="E196">
        <v>16.495311749999999</v>
      </c>
    </row>
    <row r="197" spans="1:9">
      <c r="A197">
        <v>38.200000000000003</v>
      </c>
      <c r="B197">
        <v>3.7</v>
      </c>
      <c r="C197">
        <v>13.8</v>
      </c>
      <c r="D197">
        <v>7.6</v>
      </c>
      <c r="E197">
        <v>5.3703532899999997</v>
      </c>
    </row>
    <row r="198" spans="1:9">
      <c r="A198">
        <v>94.2</v>
      </c>
      <c r="B198">
        <v>4.9000000000000004</v>
      </c>
      <c r="C198">
        <v>8.1</v>
      </c>
      <c r="D198">
        <v>9.6999999999999993</v>
      </c>
      <c r="E198">
        <v>8.16532342</v>
      </c>
    </row>
    <row r="199" spans="1:9">
      <c r="A199">
        <v>177</v>
      </c>
      <c r="B199">
        <v>9.3000000000000007</v>
      </c>
      <c r="C199">
        <v>6.4</v>
      </c>
      <c r="D199">
        <v>12.8</v>
      </c>
      <c r="E199">
        <v>12.78593225</v>
      </c>
    </row>
    <row r="200" spans="1:9">
      <c r="A200">
        <v>283.60000000000002</v>
      </c>
      <c r="B200">
        <v>42</v>
      </c>
      <c r="C200">
        <v>66.2</v>
      </c>
      <c r="D200">
        <v>25.5</v>
      </c>
      <c r="E200">
        <v>23.76733342</v>
      </c>
    </row>
    <row r="201" spans="1:9">
      <c r="A201">
        <v>232.1</v>
      </c>
      <c r="B201">
        <v>8.6</v>
      </c>
      <c r="C201">
        <v>8.6999999999999993</v>
      </c>
      <c r="D201">
        <v>13.4</v>
      </c>
      <c r="E201">
        <v>15.17320722</v>
      </c>
    </row>
    <row r="202" spans="1:9">
      <c r="A202" s="26" t="s">
        <v>9</v>
      </c>
      <c r="B202" s="27"/>
      <c r="C202" s="27"/>
      <c r="D202" s="27"/>
      <c r="E202" s="28"/>
    </row>
    <row r="203" spans="1:9">
      <c r="A203" s="1">
        <f>AVERAGE(A2:A201)</f>
        <v>147.04249999999999</v>
      </c>
      <c r="B203" s="1">
        <f>AVERAGE(B2:B201)</f>
        <v>23.264000000000024</v>
      </c>
      <c r="C203" s="1">
        <f>AVERAGE(C2:C201)</f>
        <v>30.553999999999995</v>
      </c>
      <c r="D203" s="1">
        <f>AVERAGE(D2:D201)</f>
        <v>14.022500000000003</v>
      </c>
      <c r="E203" s="1">
        <f>AVERAGE(E2:E201)</f>
        <v>14.022511301764997</v>
      </c>
    </row>
    <row r="204" spans="1:9">
      <c r="A204" s="26" t="s">
        <v>10</v>
      </c>
      <c r="B204" s="27"/>
      <c r="C204" s="27"/>
      <c r="D204" s="27"/>
      <c r="E204" s="28"/>
    </row>
    <row r="205" spans="1:9">
      <c r="A205" s="1">
        <f>MEDIAN(A2:A201)</f>
        <v>149.75</v>
      </c>
      <c r="B205" s="1">
        <f>MEDIAN(B2:B201)</f>
        <v>22.9</v>
      </c>
      <c r="C205" s="1">
        <f t="shared" ref="C205:E205" si="0">MEDIAN(C2:C201)</f>
        <v>25.75</v>
      </c>
      <c r="D205" s="1">
        <f t="shared" si="0"/>
        <v>12.9</v>
      </c>
      <c r="E205" s="1">
        <f t="shared" si="0"/>
        <v>13.94598961</v>
      </c>
    </row>
    <row r="206" spans="1:9">
      <c r="A206" s="26" t="s">
        <v>11</v>
      </c>
      <c r="B206" s="27"/>
      <c r="C206" s="27"/>
      <c r="D206" s="27"/>
      <c r="E206" s="28"/>
    </row>
    <row r="207" spans="1:9">
      <c r="A207" s="1">
        <f>_xlfn.MODE.SNGL(A2:A201)</f>
        <v>17.2</v>
      </c>
      <c r="B207" s="1">
        <f t="shared" ref="B207:E207" si="1">_xlfn.MODE.SNGL(B2:B201)</f>
        <v>4.0999999999999996</v>
      </c>
      <c r="C207" s="1">
        <f t="shared" si="1"/>
        <v>9.3000000000000007</v>
      </c>
      <c r="D207" s="1">
        <f t="shared" si="1"/>
        <v>9.6999999999999993</v>
      </c>
      <c r="E207" s="1" t="e">
        <f t="shared" si="1"/>
        <v>#N/A</v>
      </c>
      <c r="I207" s="3"/>
    </row>
    <row r="209" spans="2:4">
      <c r="B209" s="29" t="s">
        <v>12</v>
      </c>
      <c r="C209" s="29"/>
      <c r="D209" s="29"/>
    </row>
  </sheetData>
  <mergeCells count="4">
    <mergeCell ref="A202:E202"/>
    <mergeCell ref="A204:E204"/>
    <mergeCell ref="A206:E206"/>
    <mergeCell ref="B209:D20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E7C67-A228-46C3-9162-E3698811F59A}">
  <dimension ref="A1:J15"/>
  <sheetViews>
    <sheetView topLeftCell="E1" workbookViewId="0">
      <selection activeCell="F31" sqref="F31"/>
    </sheetView>
  </sheetViews>
  <sheetFormatPr defaultRowHeight="15"/>
  <cols>
    <col min="1" max="1" width="17.28515625" customWidth="1"/>
    <col min="2" max="2" width="14.42578125" customWidth="1"/>
    <col min="3" max="3" width="18" customWidth="1"/>
    <col min="4" max="4" width="14.28515625" customWidth="1"/>
    <col min="5" max="5" width="16.42578125" customWidth="1"/>
    <col min="6" max="6" width="15.5703125" customWidth="1"/>
    <col min="7" max="7" width="17" customWidth="1"/>
    <col min="8" max="8" width="16" customWidth="1"/>
    <col min="9" max="9" width="18.42578125" customWidth="1"/>
    <col min="10" max="10" width="13" customWidth="1"/>
  </cols>
  <sheetData>
    <row r="1" spans="1:10" s="3" customFormat="1" ht="14.25">
      <c r="A1" s="30" t="s">
        <v>4</v>
      </c>
      <c r="B1" s="31"/>
      <c r="C1" s="30" t="s">
        <v>5</v>
      </c>
      <c r="D1" s="31"/>
      <c r="E1" s="30" t="s">
        <v>6</v>
      </c>
      <c r="F1" s="31"/>
      <c r="G1" s="30" t="s">
        <v>7</v>
      </c>
      <c r="H1" s="31"/>
      <c r="I1" s="30" t="s">
        <v>8</v>
      </c>
      <c r="J1" s="31"/>
    </row>
    <row r="2" spans="1:10">
      <c r="A2" s="5"/>
      <c r="B2" s="6"/>
      <c r="C2" s="5"/>
      <c r="D2" s="6"/>
      <c r="E2" s="5"/>
      <c r="F2" s="6"/>
      <c r="G2" s="5"/>
      <c r="H2" s="6"/>
      <c r="I2" s="5"/>
      <c r="J2" s="6"/>
    </row>
    <row r="3" spans="1:10">
      <c r="A3" s="7" t="s">
        <v>13</v>
      </c>
      <c r="B3" s="8">
        <v>146.62512562814069</v>
      </c>
      <c r="C3" s="7" t="s">
        <v>13</v>
      </c>
      <c r="D3" s="8">
        <v>23.190954773869365</v>
      </c>
      <c r="E3" s="7" t="s">
        <v>13</v>
      </c>
      <c r="F3" s="8">
        <v>30.35979899497487</v>
      </c>
      <c r="G3" s="7" t="s">
        <v>13</v>
      </c>
      <c r="H3" s="8">
        <v>13.981909547738693</v>
      </c>
      <c r="I3" s="7" t="s">
        <v>13</v>
      </c>
      <c r="J3" s="8">
        <v>13.989840574185925</v>
      </c>
    </row>
    <row r="4" spans="1:10">
      <c r="A4" s="5" t="s">
        <v>14</v>
      </c>
      <c r="B4" s="6">
        <v>6.0869580815594668</v>
      </c>
      <c r="C4" s="5" t="s">
        <v>14</v>
      </c>
      <c r="D4" s="6">
        <v>1.0525597027177176</v>
      </c>
      <c r="E4" s="5" t="s">
        <v>14</v>
      </c>
      <c r="F4" s="6">
        <v>1.5353832140306884</v>
      </c>
      <c r="G4" s="5" t="s">
        <v>14</v>
      </c>
      <c r="H4" s="6">
        <v>0.36853748662939367</v>
      </c>
      <c r="I4" s="5" t="s">
        <v>14</v>
      </c>
      <c r="J4" s="6">
        <v>0.34967708060775071</v>
      </c>
    </row>
    <row r="5" spans="1:10">
      <c r="A5" s="7" t="s">
        <v>15</v>
      </c>
      <c r="B5" s="8">
        <v>149.69999999999999</v>
      </c>
      <c r="C5" s="7" t="s">
        <v>15</v>
      </c>
      <c r="D5" s="8">
        <v>22.5</v>
      </c>
      <c r="E5" s="7" t="s">
        <v>15</v>
      </c>
      <c r="F5" s="8">
        <v>25.6</v>
      </c>
      <c r="G5" s="7" t="s">
        <v>15</v>
      </c>
      <c r="H5" s="8">
        <v>12.9</v>
      </c>
      <c r="I5" s="7" t="s">
        <v>15</v>
      </c>
      <c r="J5" s="8">
        <v>13.92811081</v>
      </c>
    </row>
    <row r="6" spans="1:10">
      <c r="A6" s="7" t="s">
        <v>16</v>
      </c>
      <c r="B6" s="8">
        <v>17.2</v>
      </c>
      <c r="C6" s="7" t="s">
        <v>16</v>
      </c>
      <c r="D6" s="8">
        <v>4.0999999999999996</v>
      </c>
      <c r="E6" s="7" t="s">
        <v>16</v>
      </c>
      <c r="F6" s="8">
        <v>9.3000000000000007</v>
      </c>
      <c r="G6" s="7" t="s">
        <v>16</v>
      </c>
      <c r="H6" s="8">
        <v>9.6999999999999993</v>
      </c>
      <c r="I6" s="7" t="s">
        <v>16</v>
      </c>
      <c r="J6" s="8" t="e">
        <v>#N/A</v>
      </c>
    </row>
    <row r="7" spans="1:10">
      <c r="A7" s="5" t="s">
        <v>17</v>
      </c>
      <c r="B7" s="6">
        <v>85.867110575852962</v>
      </c>
      <c r="C7" s="5" t="s">
        <v>17</v>
      </c>
      <c r="D7" s="6">
        <v>14.848181829074454</v>
      </c>
      <c r="E7" s="5" t="s">
        <v>17</v>
      </c>
      <c r="F7" s="6">
        <v>21.659245627941758</v>
      </c>
      <c r="G7" s="5" t="s">
        <v>17</v>
      </c>
      <c r="H7" s="6">
        <v>5.1988610224905027</v>
      </c>
      <c r="I7" s="5" t="s">
        <v>17</v>
      </c>
      <c r="J7" s="6">
        <v>4.9328022542738852</v>
      </c>
    </row>
    <row r="8" spans="1:10">
      <c r="A8" s="5" t="s">
        <v>18</v>
      </c>
      <c r="B8" s="6">
        <v>7373.1606786457605</v>
      </c>
      <c r="C8" s="5" t="s">
        <v>18</v>
      </c>
      <c r="D8" s="6">
        <v>220.46850362925682</v>
      </c>
      <c r="E8" s="5" t="s">
        <v>18</v>
      </c>
      <c r="F8" s="6">
        <v>469.12292117151418</v>
      </c>
      <c r="G8" s="5" t="s">
        <v>18</v>
      </c>
      <c r="H8" s="6">
        <v>27.028155931171</v>
      </c>
      <c r="I8" s="5" t="s">
        <v>18</v>
      </c>
      <c r="J8" s="6">
        <v>24.33253807976952</v>
      </c>
    </row>
    <row r="9" spans="1:10">
      <c r="A9" s="5" t="s">
        <v>19</v>
      </c>
      <c r="B9" s="6">
        <v>-1.2242535495068632</v>
      </c>
      <c r="C9" s="5" t="s">
        <v>19</v>
      </c>
      <c r="D9" s="6">
        <v>-1.2548365977034219</v>
      </c>
      <c r="E9" s="5" t="s">
        <v>19</v>
      </c>
      <c r="F9" s="6">
        <v>0.73119633955332475</v>
      </c>
      <c r="G9" s="5" t="s">
        <v>19</v>
      </c>
      <c r="H9" s="6">
        <v>-0.37462893517676044</v>
      </c>
      <c r="I9" s="5" t="s">
        <v>19</v>
      </c>
      <c r="J9" s="6">
        <v>-0.75694501036882844</v>
      </c>
    </row>
    <row r="10" spans="1:10">
      <c r="A10" s="5" t="s">
        <v>20</v>
      </c>
      <c r="B10" s="6">
        <v>-6.0065072509872183E-2</v>
      </c>
      <c r="C10" s="5" t="s">
        <v>20</v>
      </c>
      <c r="D10" s="6">
        <v>0.10475048339317737</v>
      </c>
      <c r="E10" s="5" t="s">
        <v>20</v>
      </c>
      <c r="F10" s="6">
        <v>0.91242813986920424</v>
      </c>
      <c r="G10" s="5" t="s">
        <v>20</v>
      </c>
      <c r="H10" s="6">
        <v>0.41858817744517746</v>
      </c>
      <c r="I10" s="5" t="s">
        <v>20</v>
      </c>
      <c r="J10" s="6">
        <v>8.1195691537424911E-2</v>
      </c>
    </row>
    <row r="11" spans="1:10">
      <c r="A11" s="5" t="s">
        <v>21</v>
      </c>
      <c r="B11" s="6">
        <v>295.7</v>
      </c>
      <c r="C11" s="5" t="s">
        <v>21</v>
      </c>
      <c r="D11" s="6">
        <v>49.6</v>
      </c>
      <c r="E11" s="5" t="s">
        <v>21</v>
      </c>
      <c r="F11" s="6">
        <v>113.7</v>
      </c>
      <c r="G11" s="5" t="s">
        <v>21</v>
      </c>
      <c r="H11" s="6">
        <v>25.4</v>
      </c>
      <c r="I11" s="5" t="s">
        <v>21</v>
      </c>
      <c r="J11" s="6">
        <v>21.199613109000001</v>
      </c>
    </row>
    <row r="12" spans="1:10">
      <c r="A12" s="5" t="s">
        <v>22</v>
      </c>
      <c r="B12" s="6">
        <v>0.7</v>
      </c>
      <c r="C12" s="5" t="s">
        <v>22</v>
      </c>
      <c r="D12" s="6">
        <v>0</v>
      </c>
      <c r="E12" s="5" t="s">
        <v>22</v>
      </c>
      <c r="F12" s="6">
        <v>0.3</v>
      </c>
      <c r="G12" s="5" t="s">
        <v>22</v>
      </c>
      <c r="H12" s="6">
        <v>1.6</v>
      </c>
      <c r="I12" s="5" t="s">
        <v>22</v>
      </c>
      <c r="J12" s="6">
        <v>3.587269101</v>
      </c>
    </row>
    <row r="13" spans="1:10">
      <c r="A13" s="5" t="s">
        <v>23</v>
      </c>
      <c r="B13" s="6">
        <v>296.39999999999998</v>
      </c>
      <c r="C13" s="5" t="s">
        <v>23</v>
      </c>
      <c r="D13" s="6">
        <v>49.6</v>
      </c>
      <c r="E13" s="5" t="s">
        <v>23</v>
      </c>
      <c r="F13" s="6">
        <v>114</v>
      </c>
      <c r="G13" s="5" t="s">
        <v>23</v>
      </c>
      <c r="H13" s="6">
        <v>27</v>
      </c>
      <c r="I13" s="5" t="s">
        <v>23</v>
      </c>
      <c r="J13" s="6">
        <v>24.786882210000002</v>
      </c>
    </row>
    <row r="14" spans="1:10">
      <c r="A14" s="5" t="s">
        <v>24</v>
      </c>
      <c r="B14" s="6">
        <v>29178.399999999998</v>
      </c>
      <c r="C14" s="5" t="s">
        <v>24</v>
      </c>
      <c r="D14" s="6">
        <v>4615.0000000000036</v>
      </c>
      <c r="E14" s="5" t="s">
        <v>24</v>
      </c>
      <c r="F14" s="6">
        <v>6041.5999999999995</v>
      </c>
      <c r="G14" s="5" t="s">
        <v>24</v>
      </c>
      <c r="H14" s="6">
        <v>2782.4</v>
      </c>
      <c r="I14" s="5" t="s">
        <v>24</v>
      </c>
      <c r="J14" s="6">
        <v>2783.9782742629991</v>
      </c>
    </row>
    <row r="15" spans="1:10" ht="15.75" thickBot="1">
      <c r="A15" s="9" t="s">
        <v>25</v>
      </c>
      <c r="B15" s="10">
        <v>199</v>
      </c>
      <c r="C15" s="9" t="s">
        <v>25</v>
      </c>
      <c r="D15" s="10">
        <v>199</v>
      </c>
      <c r="E15" s="9" t="s">
        <v>25</v>
      </c>
      <c r="F15" s="10">
        <v>199</v>
      </c>
      <c r="G15" s="9" t="s">
        <v>25</v>
      </c>
      <c r="H15" s="10">
        <v>199</v>
      </c>
      <c r="I15" s="9" t="s">
        <v>25</v>
      </c>
      <c r="J15" s="10">
        <v>199</v>
      </c>
    </row>
  </sheetData>
  <mergeCells count="5">
    <mergeCell ref="A1:B1"/>
    <mergeCell ref="C1:D1"/>
    <mergeCell ref="E1:F1"/>
    <mergeCell ref="G1:H1"/>
    <mergeCell ref="I1:J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998B6-890E-4008-97A7-22E8B1D63418}">
  <dimension ref="O1:W35"/>
  <sheetViews>
    <sheetView topLeftCell="A6" zoomScale="91" workbookViewId="0">
      <selection activeCell="O18" sqref="O18"/>
    </sheetView>
  </sheetViews>
  <sheetFormatPr defaultRowHeight="15"/>
  <sheetData>
    <row r="1" spans="15:23" ht="15.75" thickBot="1"/>
    <row r="2" spans="15:23">
      <c r="O2" s="34" t="s">
        <v>26</v>
      </c>
      <c r="P2" s="35"/>
      <c r="Q2" s="35"/>
      <c r="R2" s="35"/>
      <c r="S2" s="35"/>
      <c r="T2" s="35"/>
      <c r="U2" s="35"/>
      <c r="V2" s="35"/>
      <c r="W2" s="36"/>
    </row>
    <row r="3" spans="15:23">
      <c r="O3" s="37" t="s">
        <v>27</v>
      </c>
      <c r="P3" s="37"/>
      <c r="Q3" s="37"/>
      <c r="R3" s="37"/>
      <c r="S3" s="37"/>
      <c r="T3" s="37"/>
      <c r="U3" s="37"/>
      <c r="V3" s="37"/>
      <c r="W3" s="37"/>
    </row>
    <row r="4" spans="15:23">
      <c r="O4" s="37"/>
      <c r="P4" s="37"/>
      <c r="Q4" s="37"/>
      <c r="R4" s="37"/>
      <c r="S4" s="37"/>
      <c r="T4" s="37"/>
      <c r="U4" s="37"/>
      <c r="V4" s="37"/>
      <c r="W4" s="37"/>
    </row>
    <row r="5" spans="15:23">
      <c r="O5" s="37"/>
      <c r="P5" s="37"/>
      <c r="Q5" s="37"/>
      <c r="R5" s="37"/>
      <c r="S5" s="37"/>
      <c r="T5" s="37"/>
      <c r="U5" s="37"/>
      <c r="V5" s="37"/>
      <c r="W5" s="37"/>
    </row>
    <row r="6" spans="15:23">
      <c r="O6" s="37"/>
      <c r="P6" s="37"/>
      <c r="Q6" s="37"/>
      <c r="R6" s="37"/>
      <c r="S6" s="37"/>
      <c r="T6" s="37"/>
      <c r="U6" s="37"/>
      <c r="V6" s="37"/>
      <c r="W6" s="37"/>
    </row>
    <row r="7" spans="15:23">
      <c r="O7" s="37"/>
      <c r="P7" s="37"/>
      <c r="Q7" s="37"/>
      <c r="R7" s="37"/>
      <c r="S7" s="37"/>
      <c r="T7" s="37"/>
      <c r="U7" s="37"/>
      <c r="V7" s="37"/>
      <c r="W7" s="37"/>
    </row>
    <row r="8" spans="15:23">
      <c r="O8" s="12"/>
      <c r="P8" s="12"/>
      <c r="Q8" s="12"/>
      <c r="R8" s="12"/>
      <c r="S8" s="12"/>
      <c r="T8" s="12"/>
      <c r="U8" s="12"/>
      <c r="V8" s="12"/>
      <c r="W8" s="12"/>
    </row>
    <row r="9" spans="15:23" ht="15" customHeight="1">
      <c r="O9" s="37" t="s">
        <v>28</v>
      </c>
      <c r="P9" s="37"/>
      <c r="Q9" s="37"/>
      <c r="R9" s="37"/>
      <c r="S9" s="37"/>
      <c r="T9" s="37"/>
      <c r="U9" s="37"/>
      <c r="V9" s="37"/>
      <c r="W9" s="37"/>
    </row>
    <row r="10" spans="15:23">
      <c r="O10" s="37"/>
      <c r="P10" s="37"/>
      <c r="Q10" s="37"/>
      <c r="R10" s="37"/>
      <c r="S10" s="37"/>
      <c r="T10" s="37"/>
      <c r="U10" s="37"/>
      <c r="V10" s="37"/>
      <c r="W10" s="37"/>
    </row>
    <row r="11" spans="15:23">
      <c r="O11" s="37"/>
      <c r="P11" s="37"/>
      <c r="Q11" s="37"/>
      <c r="R11" s="37"/>
      <c r="S11" s="37"/>
      <c r="T11" s="37"/>
      <c r="U11" s="37"/>
      <c r="V11" s="37"/>
      <c r="W11" s="37"/>
    </row>
    <row r="12" spans="15:23">
      <c r="O12" s="37"/>
      <c r="P12" s="37"/>
      <c r="Q12" s="37"/>
      <c r="R12" s="37"/>
      <c r="S12" s="37"/>
      <c r="T12" s="37"/>
      <c r="U12" s="37"/>
      <c r="V12" s="37"/>
      <c r="W12" s="37"/>
    </row>
    <row r="13" spans="15:23">
      <c r="O13" s="37"/>
      <c r="P13" s="37"/>
      <c r="Q13" s="37"/>
      <c r="R13" s="37"/>
      <c r="S13" s="37"/>
      <c r="T13" s="37"/>
      <c r="U13" s="37"/>
      <c r="V13" s="37"/>
      <c r="W13" s="37"/>
    </row>
    <row r="14" spans="15:23">
      <c r="O14" s="37"/>
      <c r="P14" s="37"/>
      <c r="Q14" s="37"/>
      <c r="R14" s="37"/>
      <c r="S14" s="37"/>
      <c r="T14" s="37"/>
      <c r="U14" s="37"/>
      <c r="V14" s="37"/>
      <c r="W14" s="37"/>
    </row>
    <row r="15" spans="15:23">
      <c r="O15" s="37"/>
      <c r="P15" s="37"/>
      <c r="Q15" s="37"/>
      <c r="R15" s="37"/>
      <c r="S15" s="37"/>
      <c r="T15" s="37"/>
      <c r="U15" s="37"/>
      <c r="V15" s="37"/>
      <c r="W15" s="37"/>
    </row>
    <row r="16" spans="15:23">
      <c r="O16" s="37"/>
      <c r="P16" s="37"/>
      <c r="Q16" s="37"/>
      <c r="R16" s="37"/>
      <c r="S16" s="37"/>
      <c r="T16" s="37"/>
      <c r="U16" s="37"/>
      <c r="V16" s="37"/>
      <c r="W16" s="37"/>
    </row>
    <row r="18" spans="15:23">
      <c r="O18" s="32" t="s">
        <v>29</v>
      </c>
      <c r="P18" s="33"/>
      <c r="Q18" s="33"/>
      <c r="R18" s="33"/>
      <c r="S18" s="33"/>
      <c r="T18" s="33"/>
      <c r="U18" s="33"/>
      <c r="V18" s="33"/>
      <c r="W18" s="33"/>
    </row>
    <row r="19" spans="15:23">
      <c r="O19" s="33"/>
      <c r="P19" s="33"/>
      <c r="Q19" s="33"/>
      <c r="R19" s="33"/>
      <c r="S19" s="33"/>
      <c r="T19" s="33"/>
      <c r="U19" s="33"/>
      <c r="V19" s="33"/>
      <c r="W19" s="33"/>
    </row>
    <row r="20" spans="15:23">
      <c r="O20" s="33"/>
      <c r="P20" s="33"/>
      <c r="Q20" s="33"/>
      <c r="R20" s="33"/>
      <c r="S20" s="33"/>
      <c r="T20" s="33"/>
      <c r="U20" s="33"/>
      <c r="V20" s="33"/>
      <c r="W20" s="33"/>
    </row>
    <row r="21" spans="15:23">
      <c r="O21" s="33"/>
      <c r="P21" s="33"/>
      <c r="Q21" s="33"/>
      <c r="R21" s="33"/>
      <c r="S21" s="33"/>
      <c r="T21" s="33"/>
      <c r="U21" s="33"/>
      <c r="V21" s="33"/>
      <c r="W21" s="33"/>
    </row>
    <row r="22" spans="15:23">
      <c r="O22" s="33"/>
      <c r="P22" s="33"/>
      <c r="Q22" s="33"/>
      <c r="R22" s="33"/>
      <c r="S22" s="33"/>
      <c r="T22" s="33"/>
      <c r="U22" s="33"/>
      <c r="V22" s="33"/>
      <c r="W22" s="33"/>
    </row>
    <row r="23" spans="15:23">
      <c r="O23" s="33"/>
      <c r="P23" s="33"/>
      <c r="Q23" s="33"/>
      <c r="R23" s="33"/>
      <c r="S23" s="33"/>
      <c r="T23" s="33"/>
      <c r="U23" s="33"/>
      <c r="V23" s="33"/>
      <c r="W23" s="33"/>
    </row>
    <row r="24" spans="15:23">
      <c r="O24" s="33"/>
      <c r="P24" s="33"/>
      <c r="Q24" s="33"/>
      <c r="R24" s="33"/>
      <c r="S24" s="33"/>
      <c r="T24" s="33"/>
      <c r="U24" s="33"/>
      <c r="V24" s="33"/>
      <c r="W24" s="33"/>
    </row>
    <row r="25" spans="15:23">
      <c r="O25" s="33"/>
      <c r="P25" s="33"/>
      <c r="Q25" s="33"/>
      <c r="R25" s="33"/>
      <c r="S25" s="33"/>
      <c r="T25" s="33"/>
      <c r="U25" s="33"/>
      <c r="V25" s="33"/>
      <c r="W25" s="33"/>
    </row>
    <row r="26" spans="15:23">
      <c r="O26" s="33"/>
      <c r="P26" s="33"/>
      <c r="Q26" s="33"/>
      <c r="R26" s="33"/>
      <c r="S26" s="33"/>
      <c r="T26" s="33"/>
      <c r="U26" s="33"/>
      <c r="V26" s="33"/>
      <c r="W26" s="33"/>
    </row>
    <row r="27" spans="15:23">
      <c r="O27" s="33"/>
      <c r="P27" s="33"/>
      <c r="Q27" s="33"/>
      <c r="R27" s="33"/>
      <c r="S27" s="33"/>
      <c r="T27" s="33"/>
      <c r="U27" s="33"/>
      <c r="V27" s="33"/>
      <c r="W27" s="33"/>
    </row>
    <row r="28" spans="15:23">
      <c r="O28" s="33"/>
      <c r="P28" s="33"/>
      <c r="Q28" s="33"/>
      <c r="R28" s="33"/>
      <c r="S28" s="33"/>
      <c r="T28" s="33"/>
      <c r="U28" s="33"/>
      <c r="V28" s="33"/>
      <c r="W28" s="33"/>
    </row>
    <row r="29" spans="15:23">
      <c r="O29" s="33"/>
      <c r="P29" s="33"/>
      <c r="Q29" s="33"/>
      <c r="R29" s="33"/>
      <c r="S29" s="33"/>
      <c r="T29" s="33"/>
      <c r="U29" s="33"/>
      <c r="V29" s="33"/>
      <c r="W29" s="33"/>
    </row>
    <row r="30" spans="15:23">
      <c r="O30" s="33"/>
      <c r="P30" s="33"/>
      <c r="Q30" s="33"/>
      <c r="R30" s="33"/>
      <c r="S30" s="33"/>
      <c r="T30" s="33"/>
      <c r="U30" s="33"/>
      <c r="V30" s="33"/>
      <c r="W30" s="33"/>
    </row>
    <row r="31" spans="15:23">
      <c r="O31" s="33"/>
      <c r="P31" s="33"/>
      <c r="Q31" s="33"/>
      <c r="R31" s="33"/>
      <c r="S31" s="33"/>
      <c r="T31" s="33"/>
      <c r="U31" s="33"/>
      <c r="V31" s="33"/>
      <c r="W31" s="33"/>
    </row>
    <row r="32" spans="15:23">
      <c r="O32" s="33"/>
      <c r="P32" s="33"/>
      <c r="Q32" s="33"/>
      <c r="R32" s="33"/>
      <c r="S32" s="33"/>
      <c r="T32" s="33"/>
      <c r="U32" s="33"/>
      <c r="V32" s="33"/>
      <c r="W32" s="33"/>
    </row>
    <row r="33" spans="15:23">
      <c r="O33" s="33"/>
      <c r="P33" s="33"/>
      <c r="Q33" s="33"/>
      <c r="R33" s="33"/>
      <c r="S33" s="33"/>
      <c r="T33" s="33"/>
      <c r="U33" s="33"/>
      <c r="V33" s="33"/>
      <c r="W33" s="33"/>
    </row>
    <row r="34" spans="15:23">
      <c r="O34" s="33"/>
      <c r="P34" s="33"/>
      <c r="Q34" s="33"/>
      <c r="R34" s="33"/>
      <c r="S34" s="33"/>
      <c r="T34" s="33"/>
      <c r="U34" s="33"/>
      <c r="V34" s="33"/>
      <c r="W34" s="33"/>
    </row>
    <row r="35" spans="15:23">
      <c r="O35" s="33"/>
      <c r="P35" s="33"/>
      <c r="Q35" s="33"/>
      <c r="R35" s="33"/>
      <c r="S35" s="33"/>
      <c r="T35" s="33"/>
      <c r="U35" s="33"/>
      <c r="V35" s="33"/>
      <c r="W35" s="33"/>
    </row>
  </sheetData>
  <mergeCells count="4">
    <mergeCell ref="O18:W35"/>
    <mergeCell ref="O2:W2"/>
    <mergeCell ref="O3:W7"/>
    <mergeCell ref="O9:W1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CD4B9-BA04-48E7-B0B1-2EB733B17172}">
  <dimension ref="A1:I18"/>
  <sheetViews>
    <sheetView workbookViewId="0">
      <selection activeCell="D20" sqref="D20"/>
    </sheetView>
  </sheetViews>
  <sheetFormatPr defaultRowHeight="15"/>
  <cols>
    <col min="1" max="1" width="19" customWidth="1"/>
    <col min="2" max="2" width="16.5703125" customWidth="1"/>
    <col min="3" max="3" width="21.7109375" customWidth="1"/>
    <col min="4" max="4" width="17.85546875" customWidth="1"/>
    <col min="5" max="5" width="13.42578125" customWidth="1"/>
    <col min="6" max="6" width="13.28515625" customWidth="1"/>
    <col min="7" max="7" width="17.5703125" customWidth="1"/>
    <col min="8" max="8" width="14.42578125" customWidth="1"/>
    <col min="9" max="9" width="18.140625" customWidth="1"/>
  </cols>
  <sheetData>
    <row r="1" spans="1:9">
      <c r="A1" s="2" t="s">
        <v>30</v>
      </c>
      <c r="B1" s="2"/>
    </row>
    <row r="2" spans="1:9" ht="15.75" thickBot="1"/>
    <row r="3" spans="1:9">
      <c r="A3" s="16" t="s">
        <v>31</v>
      </c>
      <c r="B3" s="16"/>
    </row>
    <row r="4" spans="1:9">
      <c r="A4" t="s">
        <v>32</v>
      </c>
      <c r="B4">
        <v>0.94721203442640078</v>
      </c>
    </row>
    <row r="5" spans="1:9">
      <c r="A5" t="s">
        <v>33</v>
      </c>
      <c r="B5">
        <v>0.89721063816220104</v>
      </c>
    </row>
    <row r="6" spans="1:9">
      <c r="A6" t="s">
        <v>34</v>
      </c>
      <c r="B6">
        <v>0.89669149997110098</v>
      </c>
    </row>
    <row r="7" spans="1:9">
      <c r="A7" t="s">
        <v>14</v>
      </c>
      <c r="B7">
        <v>1.6769760889752112</v>
      </c>
    </row>
    <row r="8" spans="1:9" ht="15.75" thickBot="1">
      <c r="A8" s="4" t="s">
        <v>35</v>
      </c>
      <c r="B8" s="4">
        <v>200</v>
      </c>
    </row>
    <row r="10" spans="1:9" ht="15.75" thickBot="1">
      <c r="A10" t="s">
        <v>36</v>
      </c>
    </row>
    <row r="11" spans="1:9">
      <c r="A11" s="17"/>
      <c r="B11" s="17" t="s">
        <v>37</v>
      </c>
      <c r="C11" s="17" t="s">
        <v>38</v>
      </c>
      <c r="D11" s="17" t="s">
        <v>39</v>
      </c>
      <c r="E11" s="17" t="s">
        <v>40</v>
      </c>
      <c r="F11" s="17" t="s">
        <v>41</v>
      </c>
    </row>
    <row r="12" spans="1:9">
      <c r="A12" t="s">
        <v>42</v>
      </c>
      <c r="B12">
        <v>1</v>
      </c>
      <c r="C12">
        <v>4860.3234870070673</v>
      </c>
      <c r="D12">
        <v>4860.3234870070673</v>
      </c>
      <c r="E12">
        <v>1728.2693771019119</v>
      </c>
      <c r="F12">
        <v>9.1040009173603385E-100</v>
      </c>
    </row>
    <row r="13" spans="1:9">
      <c r="A13" t="s">
        <v>43</v>
      </c>
      <c r="B13">
        <v>198</v>
      </c>
      <c r="C13">
        <v>556.82526299292988</v>
      </c>
      <c r="D13">
        <v>2.8122488029945956</v>
      </c>
    </row>
    <row r="14" spans="1:9" ht="15.75" thickBot="1">
      <c r="A14" s="4" t="s">
        <v>44</v>
      </c>
      <c r="B14" s="4">
        <v>199</v>
      </c>
      <c r="C14" s="4">
        <v>5417.1487499999976</v>
      </c>
      <c r="D14" s="4"/>
      <c r="E14" s="4"/>
      <c r="F14" s="4"/>
    </row>
    <row r="15" spans="1:9" ht="15.75" thickBot="1"/>
    <row r="16" spans="1:9">
      <c r="A16" s="17"/>
      <c r="B16" s="17" t="s">
        <v>45</v>
      </c>
      <c r="C16" s="17" t="s">
        <v>14</v>
      </c>
      <c r="D16" s="17" t="s">
        <v>46</v>
      </c>
      <c r="E16" s="17" t="s">
        <v>47</v>
      </c>
      <c r="F16" s="17" t="s">
        <v>48</v>
      </c>
      <c r="G16" s="17" t="s">
        <v>49</v>
      </c>
      <c r="H16" s="17" t="s">
        <v>50</v>
      </c>
      <c r="I16" s="17" t="s">
        <v>51</v>
      </c>
    </row>
    <row r="17" spans="1:9">
      <c r="A17" t="s">
        <v>52</v>
      </c>
      <c r="B17">
        <v>-1.0385571815874073E-5</v>
      </c>
      <c r="C17">
        <v>0.35753947857898555</v>
      </c>
      <c r="D17">
        <v>-2.9047342847706684E-5</v>
      </c>
      <c r="E17">
        <v>0.99997685281818671</v>
      </c>
      <c r="F17">
        <v>-0.70508448634605536</v>
      </c>
      <c r="G17">
        <v>0.70506371520242361</v>
      </c>
      <c r="H17">
        <v>-0.70508448634605536</v>
      </c>
      <c r="I17">
        <v>0.70506371520242361</v>
      </c>
    </row>
    <row r="18" spans="1:9" ht="15.75" thickBot="1">
      <c r="A18" s="4" t="s">
        <v>53</v>
      </c>
      <c r="B18" s="4">
        <v>0.99999993466268922</v>
      </c>
      <c r="C18" s="4">
        <v>2.4054384804197609E-2</v>
      </c>
      <c r="D18" s="4">
        <v>41.572459358353008</v>
      </c>
      <c r="E18" s="4">
        <v>9.1040009173603385E-100</v>
      </c>
      <c r="F18" s="4">
        <v>0.9525642674102115</v>
      </c>
      <c r="G18" s="4">
        <v>1.0474356019151669</v>
      </c>
      <c r="H18" s="4">
        <v>0.9525642674102115</v>
      </c>
      <c r="I18" s="4">
        <v>1.0474356019151669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7A2B9-D620-495C-B1C9-769D18D2FFF5}">
  <dimension ref="A1:W37"/>
  <sheetViews>
    <sheetView tabSelected="1" workbookViewId="0">
      <selection activeCell="A29" sqref="A29"/>
    </sheetView>
  </sheetViews>
  <sheetFormatPr defaultRowHeight="15"/>
  <sheetData>
    <row r="1" spans="1:23">
      <c r="E1" s="38" t="s">
        <v>54</v>
      </c>
      <c r="F1" s="39"/>
      <c r="G1" s="39"/>
      <c r="H1" s="39"/>
      <c r="I1" s="39"/>
      <c r="J1" s="39"/>
      <c r="K1" s="39"/>
      <c r="L1" s="39"/>
      <c r="M1" s="39"/>
      <c r="N1" s="39"/>
    </row>
    <row r="2" spans="1:23">
      <c r="E2" s="39"/>
      <c r="F2" s="39"/>
      <c r="G2" s="39"/>
      <c r="H2" s="39"/>
      <c r="I2" s="39"/>
      <c r="J2" s="39"/>
      <c r="K2" s="39"/>
      <c r="L2" s="39"/>
      <c r="M2" s="39"/>
      <c r="N2" s="39"/>
    </row>
    <row r="4" spans="1:23" ht="15" customHeight="1">
      <c r="A4" s="40" t="s">
        <v>55</v>
      </c>
      <c r="B4" s="40"/>
      <c r="C4" s="40"/>
      <c r="D4" s="40"/>
      <c r="E4" s="40"/>
      <c r="F4" s="40"/>
      <c r="G4" s="40"/>
      <c r="H4" s="40"/>
      <c r="I4" s="40"/>
      <c r="J4" s="40"/>
      <c r="K4" s="40"/>
      <c r="L4" s="40"/>
      <c r="M4" s="40"/>
      <c r="N4" s="40"/>
      <c r="O4" s="40"/>
      <c r="P4" s="40"/>
      <c r="Q4" s="42" t="s">
        <v>56</v>
      </c>
      <c r="R4" s="43"/>
      <c r="S4" s="43"/>
      <c r="T4" s="43"/>
      <c r="U4" s="43"/>
      <c r="V4" s="43"/>
      <c r="W4" s="43"/>
    </row>
    <row r="5" spans="1:23">
      <c r="A5" s="40"/>
      <c r="B5" s="40"/>
      <c r="C5" s="40"/>
      <c r="D5" s="40"/>
      <c r="E5" s="40"/>
      <c r="F5" s="40"/>
      <c r="G5" s="40"/>
      <c r="H5" s="40"/>
      <c r="I5" s="40"/>
      <c r="J5" s="40"/>
      <c r="K5" s="40"/>
      <c r="L5" s="40"/>
      <c r="M5" s="40"/>
      <c r="N5" s="40"/>
      <c r="O5" s="40"/>
      <c r="P5" s="40"/>
      <c r="Q5" s="43"/>
      <c r="R5" s="43"/>
      <c r="S5" s="43"/>
      <c r="T5" s="43"/>
      <c r="U5" s="43"/>
      <c r="V5" s="43"/>
      <c r="W5" s="43"/>
    </row>
    <row r="6" spans="1:23">
      <c r="A6" s="40"/>
      <c r="B6" s="40"/>
      <c r="C6" s="40"/>
      <c r="D6" s="40"/>
      <c r="E6" s="40"/>
      <c r="F6" s="40"/>
      <c r="G6" s="40"/>
      <c r="H6" s="40"/>
      <c r="I6" s="40"/>
      <c r="J6" s="40"/>
      <c r="K6" s="40"/>
      <c r="L6" s="40"/>
      <c r="M6" s="40"/>
      <c r="N6" s="40"/>
      <c r="O6" s="40"/>
      <c r="P6" s="40"/>
      <c r="Q6" s="43"/>
      <c r="R6" s="43"/>
      <c r="S6" s="43"/>
      <c r="T6" s="43"/>
      <c r="U6" s="43"/>
      <c r="V6" s="43"/>
      <c r="W6" s="43"/>
    </row>
    <row r="7" spans="1:23">
      <c r="A7" s="40"/>
      <c r="B7" s="40"/>
      <c r="C7" s="40"/>
      <c r="D7" s="40"/>
      <c r="E7" s="40"/>
      <c r="F7" s="40"/>
      <c r="G7" s="40"/>
      <c r="H7" s="40"/>
      <c r="I7" s="40"/>
      <c r="J7" s="40"/>
      <c r="K7" s="40"/>
      <c r="L7" s="40"/>
      <c r="M7" s="40"/>
      <c r="N7" s="40"/>
      <c r="O7" s="40"/>
      <c r="P7" s="40"/>
      <c r="Q7" s="43"/>
      <c r="R7" s="43"/>
      <c r="S7" s="43"/>
      <c r="T7" s="43"/>
      <c r="U7" s="43"/>
      <c r="V7" s="43"/>
      <c r="W7" s="43"/>
    </row>
    <row r="8" spans="1:23">
      <c r="A8" s="40"/>
      <c r="B8" s="40"/>
      <c r="C8" s="40"/>
      <c r="D8" s="40"/>
      <c r="E8" s="40"/>
      <c r="F8" s="40"/>
      <c r="G8" s="40"/>
      <c r="H8" s="40"/>
      <c r="I8" s="40"/>
      <c r="J8" s="40"/>
      <c r="K8" s="40"/>
      <c r="L8" s="40"/>
      <c r="M8" s="40"/>
      <c r="N8" s="40"/>
      <c r="O8" s="40"/>
      <c r="P8" s="40"/>
      <c r="Q8" s="43"/>
      <c r="R8" s="43"/>
      <c r="S8" s="43"/>
      <c r="T8" s="43"/>
      <c r="U8" s="43"/>
      <c r="V8" s="43"/>
      <c r="W8" s="43"/>
    </row>
    <row r="9" spans="1:23">
      <c r="A9" s="40"/>
      <c r="B9" s="40"/>
      <c r="C9" s="40"/>
      <c r="D9" s="40"/>
      <c r="E9" s="40"/>
      <c r="F9" s="40"/>
      <c r="G9" s="40"/>
      <c r="H9" s="40"/>
      <c r="I9" s="40"/>
      <c r="J9" s="40"/>
      <c r="K9" s="40"/>
      <c r="L9" s="40"/>
      <c r="M9" s="40"/>
      <c r="N9" s="40"/>
      <c r="O9" s="40"/>
      <c r="P9" s="40"/>
      <c r="Q9" s="43"/>
      <c r="R9" s="43"/>
      <c r="S9" s="43"/>
      <c r="T9" s="43"/>
      <c r="U9" s="43"/>
      <c r="V9" s="43"/>
      <c r="W9" s="43"/>
    </row>
    <row r="10" spans="1:23">
      <c r="A10" s="40"/>
      <c r="B10" s="40"/>
      <c r="C10" s="40"/>
      <c r="D10" s="40"/>
      <c r="E10" s="40"/>
      <c r="F10" s="40"/>
      <c r="G10" s="40"/>
      <c r="H10" s="40"/>
      <c r="I10" s="40"/>
      <c r="J10" s="40"/>
      <c r="K10" s="40"/>
      <c r="L10" s="40"/>
      <c r="M10" s="40"/>
      <c r="N10" s="40"/>
      <c r="O10" s="40"/>
      <c r="P10" s="40"/>
      <c r="Q10" s="43"/>
      <c r="R10" s="43"/>
      <c r="S10" s="43"/>
      <c r="T10" s="43"/>
      <c r="U10" s="43"/>
      <c r="V10" s="43"/>
      <c r="W10" s="43"/>
    </row>
    <row r="11" spans="1:23">
      <c r="A11" s="40"/>
      <c r="B11" s="40"/>
      <c r="C11" s="40"/>
      <c r="D11" s="40"/>
      <c r="E11" s="40"/>
      <c r="F11" s="40"/>
      <c r="G11" s="40"/>
      <c r="H11" s="40"/>
      <c r="I11" s="40"/>
      <c r="J11" s="40"/>
      <c r="K11" s="40"/>
      <c r="L11" s="40"/>
      <c r="M11" s="40"/>
      <c r="N11" s="40"/>
      <c r="O11" s="40"/>
      <c r="P11" s="40"/>
      <c r="Q11" s="43"/>
      <c r="R11" s="43"/>
      <c r="S11" s="43"/>
      <c r="T11" s="43"/>
      <c r="U11" s="43"/>
      <c r="V11" s="43"/>
      <c r="W11" s="43"/>
    </row>
    <row r="12" spans="1:23">
      <c r="A12" s="40"/>
      <c r="B12" s="40"/>
      <c r="C12" s="40"/>
      <c r="D12" s="40"/>
      <c r="E12" s="40"/>
      <c r="F12" s="40"/>
      <c r="G12" s="40"/>
      <c r="H12" s="40"/>
      <c r="I12" s="40"/>
      <c r="J12" s="40"/>
      <c r="K12" s="40"/>
      <c r="L12" s="40"/>
      <c r="M12" s="40"/>
      <c r="N12" s="40"/>
      <c r="O12" s="40"/>
      <c r="P12" s="40"/>
      <c r="Q12" s="43"/>
      <c r="R12" s="43"/>
      <c r="S12" s="43"/>
      <c r="T12" s="43"/>
      <c r="U12" s="43"/>
      <c r="V12" s="43"/>
      <c r="W12" s="43"/>
    </row>
    <row r="13" spans="1:23">
      <c r="A13" s="40"/>
      <c r="B13" s="40"/>
      <c r="C13" s="40"/>
      <c r="D13" s="40"/>
      <c r="E13" s="40"/>
      <c r="F13" s="40"/>
      <c r="G13" s="40"/>
      <c r="H13" s="40"/>
      <c r="I13" s="40"/>
      <c r="J13" s="40"/>
      <c r="K13" s="40"/>
      <c r="L13" s="40"/>
      <c r="M13" s="40"/>
      <c r="N13" s="40"/>
      <c r="O13" s="40"/>
      <c r="P13" s="40"/>
      <c r="Q13" s="43"/>
      <c r="R13" s="43"/>
      <c r="S13" s="43"/>
      <c r="T13" s="43"/>
      <c r="U13" s="43"/>
      <c r="V13" s="43"/>
      <c r="W13" s="43"/>
    </row>
    <row r="14" spans="1:23">
      <c r="A14" s="41" t="s">
        <v>57</v>
      </c>
      <c r="B14" s="41"/>
      <c r="C14" s="41"/>
      <c r="D14" s="41"/>
      <c r="E14" s="41"/>
      <c r="F14" s="41"/>
      <c r="G14" s="41"/>
      <c r="H14" s="41"/>
      <c r="I14" s="41"/>
      <c r="J14" s="41"/>
      <c r="K14" s="41"/>
      <c r="L14" s="41"/>
      <c r="M14" s="41"/>
      <c r="N14" s="41"/>
      <c r="O14" s="41"/>
      <c r="P14" s="41"/>
      <c r="Q14" s="43"/>
      <c r="R14" s="43"/>
      <c r="S14" s="43"/>
      <c r="T14" s="43"/>
      <c r="U14" s="43"/>
      <c r="V14" s="43"/>
      <c r="W14" s="43"/>
    </row>
    <row r="15" spans="1:23">
      <c r="A15" s="41"/>
      <c r="B15" s="41"/>
      <c r="C15" s="41"/>
      <c r="D15" s="41"/>
      <c r="E15" s="41"/>
      <c r="F15" s="41"/>
      <c r="G15" s="41"/>
      <c r="H15" s="41"/>
      <c r="I15" s="41"/>
      <c r="J15" s="41"/>
      <c r="K15" s="41"/>
      <c r="L15" s="41"/>
      <c r="M15" s="41"/>
      <c r="N15" s="41"/>
      <c r="O15" s="41"/>
      <c r="P15" s="41"/>
      <c r="Q15" s="43"/>
      <c r="R15" s="43"/>
      <c r="S15" s="43"/>
      <c r="T15" s="43"/>
      <c r="U15" s="43"/>
      <c r="V15" s="43"/>
      <c r="W15" s="43"/>
    </row>
    <row r="16" spans="1:23">
      <c r="A16" s="13"/>
      <c r="B16" s="14"/>
      <c r="C16" s="14"/>
      <c r="D16" s="14"/>
      <c r="E16" s="14"/>
      <c r="F16" s="14"/>
      <c r="G16" s="14"/>
      <c r="H16" s="14"/>
      <c r="I16" s="14"/>
      <c r="J16" s="14"/>
      <c r="K16" s="14"/>
      <c r="L16" s="14"/>
      <c r="M16" s="14"/>
      <c r="N16" s="14"/>
      <c r="O16" s="14"/>
      <c r="P16" s="15"/>
      <c r="Q16" s="15"/>
    </row>
    <row r="17" spans="1:23" ht="15" customHeight="1">
      <c r="A17" s="40" t="s">
        <v>58</v>
      </c>
      <c r="B17" s="40"/>
      <c r="C17" s="40"/>
      <c r="D17" s="40"/>
      <c r="E17" s="40"/>
      <c r="F17" s="40"/>
      <c r="G17" s="40"/>
      <c r="H17" s="40"/>
      <c r="I17" s="40"/>
      <c r="J17" s="40"/>
      <c r="K17" s="40"/>
      <c r="L17" s="40"/>
      <c r="M17" s="40"/>
      <c r="N17" s="40"/>
      <c r="O17" s="40"/>
      <c r="P17" s="40"/>
      <c r="Q17" s="44" t="s">
        <v>59</v>
      </c>
      <c r="R17" s="44"/>
      <c r="S17" s="44"/>
      <c r="T17" s="44"/>
      <c r="U17" s="44"/>
      <c r="V17" s="44"/>
      <c r="W17" s="44"/>
    </row>
    <row r="18" spans="1:23">
      <c r="A18" s="40"/>
      <c r="B18" s="40"/>
      <c r="C18" s="40"/>
      <c r="D18" s="40"/>
      <c r="E18" s="40"/>
      <c r="F18" s="40"/>
      <c r="G18" s="40"/>
      <c r="H18" s="40"/>
      <c r="I18" s="40"/>
      <c r="J18" s="40"/>
      <c r="K18" s="40"/>
      <c r="L18" s="40"/>
      <c r="M18" s="40"/>
      <c r="N18" s="40"/>
      <c r="O18" s="40"/>
      <c r="P18" s="40"/>
      <c r="Q18" s="44"/>
      <c r="R18" s="44"/>
      <c r="S18" s="44"/>
      <c r="T18" s="44"/>
      <c r="U18" s="44"/>
      <c r="V18" s="44"/>
      <c r="W18" s="44"/>
    </row>
    <row r="19" spans="1:23">
      <c r="A19" s="40"/>
      <c r="B19" s="40"/>
      <c r="C19" s="40"/>
      <c r="D19" s="40"/>
      <c r="E19" s="40"/>
      <c r="F19" s="40"/>
      <c r="G19" s="40"/>
      <c r="H19" s="40"/>
      <c r="I19" s="40"/>
      <c r="J19" s="40"/>
      <c r="K19" s="40"/>
      <c r="L19" s="40"/>
      <c r="M19" s="40"/>
      <c r="N19" s="40"/>
      <c r="O19" s="40"/>
      <c r="P19" s="40"/>
      <c r="Q19" s="44"/>
      <c r="R19" s="44"/>
      <c r="S19" s="44"/>
      <c r="T19" s="44"/>
      <c r="U19" s="44"/>
      <c r="V19" s="44"/>
      <c r="W19" s="44"/>
    </row>
    <row r="20" spans="1:23">
      <c r="A20" s="40"/>
      <c r="B20" s="40"/>
      <c r="C20" s="40"/>
      <c r="D20" s="40"/>
      <c r="E20" s="40"/>
      <c r="F20" s="40"/>
      <c r="G20" s="40"/>
      <c r="H20" s="40"/>
      <c r="I20" s="40"/>
      <c r="J20" s="40"/>
      <c r="K20" s="40"/>
      <c r="L20" s="40"/>
      <c r="M20" s="40"/>
      <c r="N20" s="40"/>
      <c r="O20" s="40"/>
      <c r="P20" s="40"/>
      <c r="Q20" s="44"/>
      <c r="R20" s="44"/>
      <c r="S20" s="44"/>
      <c r="T20" s="44"/>
      <c r="U20" s="44"/>
      <c r="V20" s="44"/>
      <c r="W20" s="44"/>
    </row>
    <row r="21" spans="1:23">
      <c r="A21" s="40"/>
      <c r="B21" s="40"/>
      <c r="C21" s="40"/>
      <c r="D21" s="40"/>
      <c r="E21" s="40"/>
      <c r="F21" s="40"/>
      <c r="G21" s="40"/>
      <c r="H21" s="40"/>
      <c r="I21" s="40"/>
      <c r="J21" s="40"/>
      <c r="K21" s="40"/>
      <c r="L21" s="40"/>
      <c r="M21" s="40"/>
      <c r="N21" s="40"/>
      <c r="O21" s="40"/>
      <c r="P21" s="40"/>
      <c r="Q21" s="44"/>
      <c r="R21" s="44"/>
      <c r="S21" s="44"/>
      <c r="T21" s="44"/>
      <c r="U21" s="44"/>
      <c r="V21" s="44"/>
      <c r="W21" s="44"/>
    </row>
    <row r="22" spans="1:23">
      <c r="A22" s="40"/>
      <c r="B22" s="40"/>
      <c r="C22" s="40"/>
      <c r="D22" s="40"/>
      <c r="E22" s="40"/>
      <c r="F22" s="40"/>
      <c r="G22" s="40"/>
      <c r="H22" s="40"/>
      <c r="I22" s="40"/>
      <c r="J22" s="40"/>
      <c r="K22" s="40"/>
      <c r="L22" s="40"/>
      <c r="M22" s="40"/>
      <c r="N22" s="40"/>
      <c r="O22" s="40"/>
      <c r="P22" s="40"/>
      <c r="Q22" s="44"/>
      <c r="R22" s="44"/>
      <c r="S22" s="44"/>
      <c r="T22" s="44"/>
      <c r="U22" s="44"/>
      <c r="V22" s="44"/>
      <c r="W22" s="44"/>
    </row>
    <row r="23" spans="1:23">
      <c r="A23" s="40"/>
      <c r="B23" s="40"/>
      <c r="C23" s="40"/>
      <c r="D23" s="40"/>
      <c r="E23" s="40"/>
      <c r="F23" s="40"/>
      <c r="G23" s="40"/>
      <c r="H23" s="40"/>
      <c r="I23" s="40"/>
      <c r="J23" s="40"/>
      <c r="K23" s="40"/>
      <c r="L23" s="40"/>
      <c r="M23" s="40"/>
      <c r="N23" s="40"/>
      <c r="O23" s="40"/>
      <c r="P23" s="40"/>
      <c r="Q23" s="44"/>
      <c r="R23" s="44"/>
      <c r="S23" s="44"/>
      <c r="T23" s="44"/>
      <c r="U23" s="44"/>
      <c r="V23" s="44"/>
      <c r="W23" s="44"/>
    </row>
    <row r="24" spans="1:23">
      <c r="A24" s="40"/>
      <c r="B24" s="40"/>
      <c r="C24" s="40"/>
      <c r="D24" s="40"/>
      <c r="E24" s="40"/>
      <c r="F24" s="40"/>
      <c r="G24" s="40"/>
      <c r="H24" s="40"/>
      <c r="I24" s="40"/>
      <c r="J24" s="40"/>
      <c r="K24" s="40"/>
      <c r="L24" s="40"/>
      <c r="M24" s="40"/>
      <c r="N24" s="40"/>
      <c r="O24" s="40"/>
      <c r="P24" s="40"/>
      <c r="Q24" s="44"/>
      <c r="R24" s="44"/>
      <c r="S24" s="44"/>
      <c r="T24" s="44"/>
      <c r="U24" s="44"/>
      <c r="V24" s="44"/>
      <c r="W24" s="44"/>
    </row>
    <row r="25" spans="1:23">
      <c r="A25" s="40" t="s">
        <v>60</v>
      </c>
      <c r="B25" s="40"/>
      <c r="C25" s="40"/>
      <c r="D25" s="40"/>
      <c r="E25" s="40"/>
      <c r="F25" s="40"/>
      <c r="G25" s="40"/>
      <c r="H25" s="40"/>
      <c r="I25" s="40"/>
      <c r="J25" s="40"/>
      <c r="K25" s="40"/>
      <c r="L25" s="40"/>
      <c r="M25" s="40"/>
      <c r="N25" s="40"/>
      <c r="O25" s="40"/>
      <c r="P25" s="40"/>
      <c r="Q25" s="44"/>
      <c r="R25" s="44"/>
      <c r="S25" s="44"/>
      <c r="T25" s="44"/>
      <c r="U25" s="44"/>
      <c r="V25" s="44"/>
      <c r="W25" s="44"/>
    </row>
    <row r="26" spans="1:23">
      <c r="A26" s="40"/>
      <c r="B26" s="40"/>
      <c r="C26" s="40"/>
      <c r="D26" s="40"/>
      <c r="E26" s="40"/>
      <c r="F26" s="40"/>
      <c r="G26" s="40"/>
      <c r="H26" s="40"/>
      <c r="I26" s="40"/>
      <c r="J26" s="40"/>
      <c r="K26" s="40"/>
      <c r="L26" s="40"/>
      <c r="M26" s="40"/>
      <c r="N26" s="40"/>
      <c r="O26" s="40"/>
      <c r="P26" s="40"/>
      <c r="Q26" s="44"/>
      <c r="R26" s="44"/>
      <c r="S26" s="44"/>
      <c r="T26" s="44"/>
      <c r="U26" s="44"/>
      <c r="V26" s="44"/>
      <c r="W26" s="44"/>
    </row>
    <row r="27" spans="1:23">
      <c r="A27" s="40"/>
      <c r="B27" s="40"/>
      <c r="C27" s="40"/>
      <c r="D27" s="40"/>
      <c r="E27" s="40"/>
      <c r="F27" s="40"/>
      <c r="G27" s="40"/>
      <c r="H27" s="40"/>
      <c r="I27" s="40"/>
      <c r="J27" s="40"/>
      <c r="K27" s="40"/>
      <c r="L27" s="40"/>
      <c r="M27" s="40"/>
      <c r="N27" s="40"/>
      <c r="O27" s="40"/>
      <c r="P27" s="40"/>
      <c r="Q27" s="44"/>
      <c r="R27" s="44"/>
      <c r="S27" s="44"/>
      <c r="T27" s="44"/>
      <c r="U27" s="44"/>
      <c r="V27" s="44"/>
      <c r="W27" s="44"/>
    </row>
    <row r="29" spans="1:23">
      <c r="A29" s="40" t="s">
        <v>61</v>
      </c>
      <c r="B29" s="41"/>
      <c r="C29" s="41"/>
      <c r="D29" s="41"/>
      <c r="E29" s="41"/>
      <c r="F29" s="41"/>
      <c r="G29" s="41"/>
      <c r="H29" s="41"/>
      <c r="I29" s="41"/>
      <c r="J29" s="41"/>
      <c r="K29" s="41"/>
      <c r="L29" s="41"/>
      <c r="M29" s="41"/>
      <c r="N29" s="41"/>
      <c r="O29" s="41"/>
      <c r="P29" s="41"/>
      <c r="Q29" s="44" t="s">
        <v>62</v>
      </c>
      <c r="R29" s="44"/>
      <c r="S29" s="44"/>
      <c r="T29" s="44"/>
      <c r="U29" s="44"/>
      <c r="V29" s="44"/>
      <c r="W29" s="44"/>
    </row>
    <row r="30" spans="1:23">
      <c r="A30" s="41"/>
      <c r="B30" s="41"/>
      <c r="C30" s="41"/>
      <c r="D30" s="41"/>
      <c r="E30" s="41"/>
      <c r="F30" s="41"/>
      <c r="G30" s="41"/>
      <c r="H30" s="41"/>
      <c r="I30" s="41"/>
      <c r="J30" s="41"/>
      <c r="K30" s="41"/>
      <c r="L30" s="41"/>
      <c r="M30" s="41"/>
      <c r="N30" s="41"/>
      <c r="O30" s="41"/>
      <c r="P30" s="41"/>
      <c r="Q30" s="44"/>
      <c r="R30" s="44"/>
      <c r="S30" s="44"/>
      <c r="T30" s="44"/>
      <c r="U30" s="44"/>
      <c r="V30" s="44"/>
      <c r="W30" s="44"/>
    </row>
    <row r="31" spans="1:23">
      <c r="A31" s="41"/>
      <c r="B31" s="41"/>
      <c r="C31" s="41"/>
      <c r="D31" s="41"/>
      <c r="E31" s="41"/>
      <c r="F31" s="41"/>
      <c r="G31" s="41"/>
      <c r="H31" s="41"/>
      <c r="I31" s="41"/>
      <c r="J31" s="41"/>
      <c r="K31" s="41"/>
      <c r="L31" s="41"/>
      <c r="M31" s="41"/>
      <c r="N31" s="41"/>
      <c r="O31" s="41"/>
      <c r="P31" s="41"/>
      <c r="Q31" s="44"/>
      <c r="R31" s="44"/>
      <c r="S31" s="44"/>
      <c r="T31" s="44"/>
      <c r="U31" s="44"/>
      <c r="V31" s="44"/>
      <c r="W31" s="44"/>
    </row>
    <row r="32" spans="1:23">
      <c r="A32" s="41"/>
      <c r="B32" s="41"/>
      <c r="C32" s="41"/>
      <c r="D32" s="41"/>
      <c r="E32" s="41"/>
      <c r="F32" s="41"/>
      <c r="G32" s="41"/>
      <c r="H32" s="41"/>
      <c r="I32" s="41"/>
      <c r="J32" s="41"/>
      <c r="K32" s="41"/>
      <c r="L32" s="41"/>
      <c r="M32" s="41"/>
      <c r="N32" s="41"/>
      <c r="O32" s="41"/>
      <c r="P32" s="41"/>
      <c r="Q32" s="44"/>
      <c r="R32" s="44"/>
      <c r="S32" s="44"/>
      <c r="T32" s="44"/>
      <c r="U32" s="44"/>
      <c r="V32" s="44"/>
      <c r="W32" s="44"/>
    </row>
    <row r="33" spans="1:23">
      <c r="A33" s="41"/>
      <c r="B33" s="41"/>
      <c r="C33" s="41"/>
      <c r="D33" s="41"/>
      <c r="E33" s="41"/>
      <c r="F33" s="41"/>
      <c r="G33" s="41"/>
      <c r="H33" s="41"/>
      <c r="I33" s="41"/>
      <c r="J33" s="41"/>
      <c r="K33" s="41"/>
      <c r="L33" s="41"/>
      <c r="M33" s="41"/>
      <c r="N33" s="41"/>
      <c r="O33" s="41"/>
      <c r="P33" s="41"/>
      <c r="Q33" s="44"/>
      <c r="R33" s="44"/>
      <c r="S33" s="44"/>
      <c r="T33" s="44"/>
      <c r="U33" s="44"/>
      <c r="V33" s="44"/>
      <c r="W33" s="44"/>
    </row>
    <row r="34" spans="1:23">
      <c r="A34" s="41"/>
      <c r="B34" s="41"/>
      <c r="C34" s="41"/>
      <c r="D34" s="41"/>
      <c r="E34" s="41"/>
      <c r="F34" s="41"/>
      <c r="G34" s="41"/>
      <c r="H34" s="41"/>
      <c r="I34" s="41"/>
      <c r="J34" s="41"/>
      <c r="K34" s="41"/>
      <c r="L34" s="41"/>
      <c r="M34" s="41"/>
      <c r="N34" s="41"/>
      <c r="O34" s="41"/>
      <c r="P34" s="41"/>
      <c r="Q34" s="44"/>
      <c r="R34" s="44"/>
      <c r="S34" s="44"/>
      <c r="T34" s="44"/>
      <c r="U34" s="44"/>
      <c r="V34" s="44"/>
      <c r="W34" s="44"/>
    </row>
    <row r="35" spans="1:23">
      <c r="A35" s="41"/>
      <c r="B35" s="41"/>
      <c r="C35" s="41"/>
      <c r="D35" s="41"/>
      <c r="E35" s="41"/>
      <c r="F35" s="41"/>
      <c r="G35" s="41"/>
      <c r="H35" s="41"/>
      <c r="I35" s="41"/>
      <c r="J35" s="41"/>
      <c r="K35" s="41"/>
      <c r="L35" s="41"/>
      <c r="M35" s="41"/>
      <c r="N35" s="41"/>
      <c r="O35" s="41"/>
      <c r="P35" s="41"/>
      <c r="Q35" s="44"/>
      <c r="R35" s="44"/>
      <c r="S35" s="44"/>
      <c r="T35" s="44"/>
      <c r="U35" s="44"/>
      <c r="V35" s="44"/>
      <c r="W35" s="44"/>
    </row>
    <row r="36" spans="1:23">
      <c r="A36" s="40" t="s">
        <v>63</v>
      </c>
      <c r="B36" s="40"/>
      <c r="C36" s="40"/>
      <c r="D36" s="40"/>
      <c r="E36" s="40"/>
      <c r="F36" s="40"/>
      <c r="G36" s="40"/>
      <c r="H36" s="40"/>
      <c r="I36" s="40"/>
      <c r="J36" s="40"/>
      <c r="K36" s="40"/>
      <c r="L36" s="40"/>
      <c r="M36" s="40"/>
      <c r="N36" s="40"/>
      <c r="O36" s="40"/>
      <c r="P36" s="40"/>
      <c r="Q36" s="44"/>
      <c r="R36" s="44"/>
      <c r="S36" s="44"/>
      <c r="T36" s="44"/>
      <c r="U36" s="44"/>
      <c r="V36" s="44"/>
      <c r="W36" s="44"/>
    </row>
    <row r="37" spans="1:23">
      <c r="A37" s="40"/>
      <c r="B37" s="40"/>
      <c r="C37" s="40"/>
      <c r="D37" s="40"/>
      <c r="E37" s="40"/>
      <c r="F37" s="40"/>
      <c r="G37" s="40"/>
      <c r="H37" s="40"/>
      <c r="I37" s="40"/>
      <c r="J37" s="40"/>
      <c r="K37" s="40"/>
      <c r="L37" s="40"/>
      <c r="M37" s="40"/>
      <c r="N37" s="40"/>
      <c r="O37" s="40"/>
      <c r="P37" s="40"/>
      <c r="Q37" s="44"/>
      <c r="R37" s="44"/>
      <c r="S37" s="44"/>
      <c r="T37" s="44"/>
      <c r="U37" s="44"/>
      <c r="V37" s="44"/>
      <c r="W37" s="44"/>
    </row>
  </sheetData>
  <mergeCells count="10">
    <mergeCell ref="A29:P35"/>
    <mergeCell ref="A36:P37"/>
    <mergeCell ref="Q4:W15"/>
    <mergeCell ref="Q17:W27"/>
    <mergeCell ref="Q29:W37"/>
    <mergeCell ref="E1:N2"/>
    <mergeCell ref="A4:P13"/>
    <mergeCell ref="A14:P15"/>
    <mergeCell ref="A17:P24"/>
    <mergeCell ref="A25:P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7EBA9-5CF7-4525-8743-DC1EBC985948}">
  <dimension ref="A2:Q63"/>
  <sheetViews>
    <sheetView workbookViewId="0">
      <selection activeCell="A54" sqref="A54:Q63"/>
    </sheetView>
  </sheetViews>
  <sheetFormatPr defaultRowHeight="15"/>
  <sheetData>
    <row r="2" spans="1:17">
      <c r="C2" s="45" t="s">
        <v>64</v>
      </c>
      <c r="D2" s="45"/>
      <c r="E2" s="45"/>
      <c r="F2" s="45"/>
      <c r="G2" s="45"/>
      <c r="H2" s="45"/>
      <c r="I2" s="45"/>
      <c r="J2" s="45"/>
      <c r="K2" s="45"/>
      <c r="L2" s="45"/>
      <c r="M2" s="45"/>
      <c r="N2" s="45"/>
      <c r="O2" s="45"/>
    </row>
    <row r="3" spans="1:17">
      <c r="C3" s="45"/>
      <c r="D3" s="45"/>
      <c r="E3" s="45"/>
      <c r="F3" s="45"/>
      <c r="G3" s="45"/>
      <c r="H3" s="45"/>
      <c r="I3" s="45"/>
      <c r="J3" s="45"/>
      <c r="K3" s="45"/>
      <c r="L3" s="45"/>
      <c r="M3" s="45"/>
      <c r="N3" s="45"/>
      <c r="O3" s="45"/>
    </row>
    <row r="5" spans="1:17" ht="15" customHeight="1">
      <c r="A5" s="32" t="s">
        <v>65</v>
      </c>
      <c r="B5" s="32"/>
      <c r="C5" s="32"/>
      <c r="D5" s="32"/>
      <c r="E5" s="32"/>
      <c r="F5" s="32"/>
      <c r="G5" s="32"/>
      <c r="H5" s="32"/>
      <c r="I5" s="32"/>
      <c r="J5" s="32"/>
      <c r="K5" s="32"/>
      <c r="L5" s="32"/>
      <c r="M5" s="32"/>
      <c r="N5" s="32"/>
      <c r="O5" s="32"/>
      <c r="P5" s="32"/>
      <c r="Q5" s="32"/>
    </row>
    <row r="6" spans="1:17">
      <c r="A6" s="32"/>
      <c r="B6" s="32"/>
      <c r="C6" s="32"/>
      <c r="D6" s="32"/>
      <c r="E6" s="32"/>
      <c r="F6" s="32"/>
      <c r="G6" s="32"/>
      <c r="H6" s="32"/>
      <c r="I6" s="32"/>
      <c r="J6" s="32"/>
      <c r="K6" s="32"/>
      <c r="L6" s="32"/>
      <c r="M6" s="32"/>
      <c r="N6" s="32"/>
      <c r="O6" s="32"/>
      <c r="P6" s="32"/>
      <c r="Q6" s="32"/>
    </row>
    <row r="7" spans="1:17">
      <c r="A7" s="32"/>
      <c r="B7" s="32"/>
      <c r="C7" s="32"/>
      <c r="D7" s="32"/>
      <c r="E7" s="32"/>
      <c r="F7" s="32"/>
      <c r="G7" s="32"/>
      <c r="H7" s="32"/>
      <c r="I7" s="32"/>
      <c r="J7" s="32"/>
      <c r="K7" s="32"/>
      <c r="L7" s="32"/>
      <c r="M7" s="32"/>
      <c r="N7" s="32"/>
      <c r="O7" s="32"/>
      <c r="P7" s="32"/>
      <c r="Q7" s="32"/>
    </row>
    <row r="8" spans="1:17">
      <c r="A8" s="32"/>
      <c r="B8" s="32"/>
      <c r="C8" s="32"/>
      <c r="D8" s="32"/>
      <c r="E8" s="32"/>
      <c r="F8" s="32"/>
      <c r="G8" s="32"/>
      <c r="H8" s="32"/>
      <c r="I8" s="32"/>
      <c r="J8" s="32"/>
      <c r="K8" s="32"/>
      <c r="L8" s="32"/>
      <c r="M8" s="32"/>
      <c r="N8" s="32"/>
      <c r="O8" s="32"/>
      <c r="P8" s="32"/>
      <c r="Q8" s="32"/>
    </row>
    <row r="9" spans="1:17">
      <c r="A9" s="32"/>
      <c r="B9" s="32"/>
      <c r="C9" s="32"/>
      <c r="D9" s="32"/>
      <c r="E9" s="32"/>
      <c r="F9" s="32"/>
      <c r="G9" s="32"/>
      <c r="H9" s="32"/>
      <c r="I9" s="32"/>
      <c r="J9" s="32"/>
      <c r="K9" s="32"/>
      <c r="L9" s="32"/>
      <c r="M9" s="32"/>
      <c r="N9" s="32"/>
      <c r="O9" s="32"/>
      <c r="P9" s="32"/>
      <c r="Q9" s="32"/>
    </row>
    <row r="10" spans="1:17">
      <c r="A10" s="32"/>
      <c r="B10" s="32"/>
      <c r="C10" s="32"/>
      <c r="D10" s="32"/>
      <c r="E10" s="32"/>
      <c r="F10" s="32"/>
      <c r="G10" s="32"/>
      <c r="H10" s="32"/>
      <c r="I10" s="32"/>
      <c r="J10" s="32"/>
      <c r="K10" s="32"/>
      <c r="L10" s="32"/>
      <c r="M10" s="32"/>
      <c r="N10" s="32"/>
      <c r="O10" s="32"/>
      <c r="P10" s="32"/>
      <c r="Q10" s="32"/>
    </row>
    <row r="11" spans="1:17">
      <c r="A11" s="32"/>
      <c r="B11" s="32"/>
      <c r="C11" s="32"/>
      <c r="D11" s="32"/>
      <c r="E11" s="32"/>
      <c r="F11" s="32"/>
      <c r="G11" s="32"/>
      <c r="H11" s="32"/>
      <c r="I11" s="32"/>
      <c r="J11" s="32"/>
      <c r="K11" s="32"/>
      <c r="L11" s="32"/>
      <c r="M11" s="32"/>
      <c r="N11" s="32"/>
      <c r="O11" s="32"/>
      <c r="P11" s="32"/>
      <c r="Q11" s="32"/>
    </row>
    <row r="12" spans="1:17">
      <c r="A12" s="32"/>
      <c r="B12" s="32"/>
      <c r="C12" s="32"/>
      <c r="D12" s="32"/>
      <c r="E12" s="32"/>
      <c r="F12" s="32"/>
      <c r="G12" s="32"/>
      <c r="H12" s="32"/>
      <c r="I12" s="32"/>
      <c r="J12" s="32"/>
      <c r="K12" s="32"/>
      <c r="L12" s="32"/>
      <c r="M12" s="32"/>
      <c r="N12" s="32"/>
      <c r="O12" s="32"/>
      <c r="P12" s="32"/>
      <c r="Q12" s="32"/>
    </row>
    <row r="13" spans="1:17">
      <c r="A13" s="32"/>
      <c r="B13" s="32"/>
      <c r="C13" s="32"/>
      <c r="D13" s="32"/>
      <c r="E13" s="32"/>
      <c r="F13" s="32"/>
      <c r="G13" s="32"/>
      <c r="H13" s="32"/>
      <c r="I13" s="32"/>
      <c r="J13" s="32"/>
      <c r="K13" s="32"/>
      <c r="L13" s="32"/>
      <c r="M13" s="32"/>
      <c r="N13" s="32"/>
      <c r="O13" s="32"/>
      <c r="P13" s="32"/>
      <c r="Q13" s="32"/>
    </row>
    <row r="14" spans="1:17">
      <c r="A14" s="32"/>
      <c r="B14" s="32"/>
      <c r="C14" s="32"/>
      <c r="D14" s="32"/>
      <c r="E14" s="32"/>
      <c r="F14" s="32"/>
      <c r="G14" s="32"/>
      <c r="H14" s="32"/>
      <c r="I14" s="32"/>
      <c r="J14" s="32"/>
      <c r="K14" s="32"/>
      <c r="L14" s="32"/>
      <c r="M14" s="32"/>
      <c r="N14" s="32"/>
      <c r="O14" s="32"/>
      <c r="P14" s="32"/>
      <c r="Q14" s="32"/>
    </row>
    <row r="15" spans="1:17">
      <c r="A15" s="32"/>
      <c r="B15" s="32"/>
      <c r="C15" s="32"/>
      <c r="D15" s="32"/>
      <c r="E15" s="32"/>
      <c r="F15" s="32"/>
      <c r="G15" s="32"/>
      <c r="H15" s="32"/>
      <c r="I15" s="32"/>
      <c r="J15" s="32"/>
      <c r="K15" s="32"/>
      <c r="L15" s="32"/>
      <c r="M15" s="32"/>
      <c r="N15" s="32"/>
      <c r="O15" s="32"/>
      <c r="P15" s="32"/>
      <c r="Q15" s="32"/>
    </row>
    <row r="16" spans="1:17">
      <c r="A16" s="32"/>
      <c r="B16" s="32"/>
      <c r="C16" s="32"/>
      <c r="D16" s="32"/>
      <c r="E16" s="32"/>
      <c r="F16" s="32"/>
      <c r="G16" s="32"/>
      <c r="H16" s="32"/>
      <c r="I16" s="32"/>
      <c r="J16" s="32"/>
      <c r="K16" s="32"/>
      <c r="L16" s="32"/>
      <c r="M16" s="32"/>
      <c r="N16" s="32"/>
      <c r="O16" s="32"/>
      <c r="P16" s="32"/>
      <c r="Q16" s="32"/>
    </row>
    <row r="18" spans="1:17">
      <c r="A18" s="32" t="s">
        <v>66</v>
      </c>
      <c r="B18" s="33"/>
      <c r="C18" s="33"/>
      <c r="D18" s="33"/>
      <c r="E18" s="33"/>
      <c r="F18" s="33"/>
      <c r="G18" s="33"/>
      <c r="H18" s="33"/>
      <c r="I18" s="33"/>
      <c r="J18" s="33"/>
      <c r="K18" s="33"/>
      <c r="L18" s="33"/>
      <c r="M18" s="33"/>
      <c r="N18" s="33"/>
      <c r="O18" s="33"/>
      <c r="P18" s="33"/>
      <c r="Q18" s="33"/>
    </row>
    <row r="19" spans="1:17">
      <c r="A19" s="33"/>
      <c r="B19" s="33"/>
      <c r="C19" s="33"/>
      <c r="D19" s="33"/>
      <c r="E19" s="33"/>
      <c r="F19" s="33"/>
      <c r="G19" s="33"/>
      <c r="H19" s="33"/>
      <c r="I19" s="33"/>
      <c r="J19" s="33"/>
      <c r="K19" s="33"/>
      <c r="L19" s="33"/>
      <c r="M19" s="33"/>
      <c r="N19" s="33"/>
      <c r="O19" s="33"/>
      <c r="P19" s="33"/>
      <c r="Q19" s="33"/>
    </row>
    <row r="20" spans="1:17">
      <c r="A20" s="33"/>
      <c r="B20" s="33"/>
      <c r="C20" s="33"/>
      <c r="D20" s="33"/>
      <c r="E20" s="33"/>
      <c r="F20" s="33"/>
      <c r="G20" s="33"/>
      <c r="H20" s="33"/>
      <c r="I20" s="33"/>
      <c r="J20" s="33"/>
      <c r="K20" s="33"/>
      <c r="L20" s="33"/>
      <c r="M20" s="33"/>
      <c r="N20" s="33"/>
      <c r="O20" s="33"/>
      <c r="P20" s="33"/>
      <c r="Q20" s="33"/>
    </row>
    <row r="21" spans="1:17">
      <c r="A21" s="33"/>
      <c r="B21" s="33"/>
      <c r="C21" s="33"/>
      <c r="D21" s="33"/>
      <c r="E21" s="33"/>
      <c r="F21" s="33"/>
      <c r="G21" s="33"/>
      <c r="H21" s="33"/>
      <c r="I21" s="33"/>
      <c r="J21" s="33"/>
      <c r="K21" s="33"/>
      <c r="L21" s="33"/>
      <c r="M21" s="33"/>
      <c r="N21" s="33"/>
      <c r="O21" s="33"/>
      <c r="P21" s="33"/>
      <c r="Q21" s="33"/>
    </row>
    <row r="22" spans="1:17">
      <c r="A22" s="33"/>
      <c r="B22" s="33"/>
      <c r="C22" s="33"/>
      <c r="D22" s="33"/>
      <c r="E22" s="33"/>
      <c r="F22" s="33"/>
      <c r="G22" s="33"/>
      <c r="H22" s="33"/>
      <c r="I22" s="33"/>
      <c r="J22" s="33"/>
      <c r="K22" s="33"/>
      <c r="L22" s="33"/>
      <c r="M22" s="33"/>
      <c r="N22" s="33"/>
      <c r="O22" s="33"/>
      <c r="P22" s="33"/>
      <c r="Q22" s="33"/>
    </row>
    <row r="23" spans="1:17">
      <c r="A23" s="33"/>
      <c r="B23" s="33"/>
      <c r="C23" s="33"/>
      <c r="D23" s="33"/>
      <c r="E23" s="33"/>
      <c r="F23" s="33"/>
      <c r="G23" s="33"/>
      <c r="H23" s="33"/>
      <c r="I23" s="33"/>
      <c r="J23" s="33"/>
      <c r="K23" s="33"/>
      <c r="L23" s="33"/>
      <c r="M23" s="33"/>
      <c r="N23" s="33"/>
      <c r="O23" s="33"/>
      <c r="P23" s="33"/>
      <c r="Q23" s="33"/>
    </row>
    <row r="24" spans="1:17">
      <c r="A24" s="33"/>
      <c r="B24" s="33"/>
      <c r="C24" s="33"/>
      <c r="D24" s="33"/>
      <c r="E24" s="33"/>
      <c r="F24" s="33"/>
      <c r="G24" s="33"/>
      <c r="H24" s="33"/>
      <c r="I24" s="33"/>
      <c r="J24" s="33"/>
      <c r="K24" s="33"/>
      <c r="L24" s="33"/>
      <c r="M24" s="33"/>
      <c r="N24" s="33"/>
      <c r="O24" s="33"/>
      <c r="P24" s="33"/>
      <c r="Q24" s="33"/>
    </row>
    <row r="25" spans="1:17">
      <c r="A25" s="33"/>
      <c r="B25" s="33"/>
      <c r="C25" s="33"/>
      <c r="D25" s="33"/>
      <c r="E25" s="33"/>
      <c r="F25" s="33"/>
      <c r="G25" s="33"/>
      <c r="H25" s="33"/>
      <c r="I25" s="33"/>
      <c r="J25" s="33"/>
      <c r="K25" s="33"/>
      <c r="L25" s="33"/>
      <c r="M25" s="33"/>
      <c r="N25" s="33"/>
      <c r="O25" s="33"/>
      <c r="P25" s="33"/>
      <c r="Q25" s="33"/>
    </row>
    <row r="26" spans="1:17">
      <c r="A26" s="33"/>
      <c r="B26" s="33"/>
      <c r="C26" s="33"/>
      <c r="D26" s="33"/>
      <c r="E26" s="33"/>
      <c r="F26" s="33"/>
      <c r="G26" s="33"/>
      <c r="H26" s="33"/>
      <c r="I26" s="33"/>
      <c r="J26" s="33"/>
      <c r="K26" s="33"/>
      <c r="L26" s="33"/>
      <c r="M26" s="33"/>
      <c r="N26" s="33"/>
      <c r="O26" s="33"/>
      <c r="P26" s="33"/>
      <c r="Q26" s="33"/>
    </row>
    <row r="27" spans="1:17">
      <c r="A27" s="33"/>
      <c r="B27" s="33"/>
      <c r="C27" s="33"/>
      <c r="D27" s="33"/>
      <c r="E27" s="33"/>
      <c r="F27" s="33"/>
      <c r="G27" s="33"/>
      <c r="H27" s="33"/>
      <c r="I27" s="33"/>
      <c r="J27" s="33"/>
      <c r="K27" s="33"/>
      <c r="L27" s="33"/>
      <c r="M27" s="33"/>
      <c r="N27" s="33"/>
      <c r="O27" s="33"/>
      <c r="P27" s="33"/>
      <c r="Q27" s="33"/>
    </row>
    <row r="28" spans="1:17">
      <c r="A28" s="33"/>
      <c r="B28" s="33"/>
      <c r="C28" s="33"/>
      <c r="D28" s="33"/>
      <c r="E28" s="33"/>
      <c r="F28" s="33"/>
      <c r="G28" s="33"/>
      <c r="H28" s="33"/>
      <c r="I28" s="33"/>
      <c r="J28" s="33"/>
      <c r="K28" s="33"/>
      <c r="L28" s="33"/>
      <c r="M28" s="33"/>
      <c r="N28" s="33"/>
      <c r="O28" s="33"/>
      <c r="P28" s="33"/>
      <c r="Q28" s="33"/>
    </row>
    <row r="30" spans="1:17">
      <c r="A30" s="32" t="s">
        <v>67</v>
      </c>
      <c r="B30" s="33"/>
      <c r="C30" s="33"/>
      <c r="D30" s="33"/>
      <c r="E30" s="33"/>
      <c r="F30" s="33"/>
      <c r="G30" s="33"/>
      <c r="H30" s="33"/>
      <c r="I30" s="33"/>
      <c r="J30" s="33"/>
      <c r="K30" s="33"/>
      <c r="L30" s="33"/>
      <c r="M30" s="33"/>
      <c r="N30" s="33"/>
      <c r="O30" s="33"/>
      <c r="P30" s="33"/>
      <c r="Q30" s="33"/>
    </row>
    <row r="31" spans="1:17">
      <c r="A31" s="33"/>
      <c r="B31" s="33"/>
      <c r="C31" s="33"/>
      <c r="D31" s="33"/>
      <c r="E31" s="33"/>
      <c r="F31" s="33"/>
      <c r="G31" s="33"/>
      <c r="H31" s="33"/>
      <c r="I31" s="33"/>
      <c r="J31" s="33"/>
      <c r="K31" s="33"/>
      <c r="L31" s="33"/>
      <c r="M31" s="33"/>
      <c r="N31" s="33"/>
      <c r="O31" s="33"/>
      <c r="P31" s="33"/>
      <c r="Q31" s="33"/>
    </row>
    <row r="32" spans="1:17">
      <c r="A32" s="33"/>
      <c r="B32" s="33"/>
      <c r="C32" s="33"/>
      <c r="D32" s="33"/>
      <c r="E32" s="33"/>
      <c r="F32" s="33"/>
      <c r="G32" s="33"/>
      <c r="H32" s="33"/>
      <c r="I32" s="33"/>
      <c r="J32" s="33"/>
      <c r="K32" s="33"/>
      <c r="L32" s="33"/>
      <c r="M32" s="33"/>
      <c r="N32" s="33"/>
      <c r="O32" s="33"/>
      <c r="P32" s="33"/>
      <c r="Q32" s="33"/>
    </row>
    <row r="33" spans="1:17">
      <c r="A33" s="33"/>
      <c r="B33" s="33"/>
      <c r="C33" s="33"/>
      <c r="D33" s="33"/>
      <c r="E33" s="33"/>
      <c r="F33" s="33"/>
      <c r="G33" s="33"/>
      <c r="H33" s="33"/>
      <c r="I33" s="33"/>
      <c r="J33" s="33"/>
      <c r="K33" s="33"/>
      <c r="L33" s="33"/>
      <c r="M33" s="33"/>
      <c r="N33" s="33"/>
      <c r="O33" s="33"/>
      <c r="P33" s="33"/>
      <c r="Q33" s="33"/>
    </row>
    <row r="34" spans="1:17">
      <c r="A34" s="33"/>
      <c r="B34" s="33"/>
      <c r="C34" s="33"/>
      <c r="D34" s="33"/>
      <c r="E34" s="33"/>
      <c r="F34" s="33"/>
      <c r="G34" s="33"/>
      <c r="H34" s="33"/>
      <c r="I34" s="33"/>
      <c r="J34" s="33"/>
      <c r="K34" s="33"/>
      <c r="L34" s="33"/>
      <c r="M34" s="33"/>
      <c r="N34" s="33"/>
      <c r="O34" s="33"/>
      <c r="P34" s="33"/>
      <c r="Q34" s="33"/>
    </row>
    <row r="35" spans="1:17">
      <c r="A35" s="33"/>
      <c r="B35" s="33"/>
      <c r="C35" s="33"/>
      <c r="D35" s="33"/>
      <c r="E35" s="33"/>
      <c r="F35" s="33"/>
      <c r="G35" s="33"/>
      <c r="H35" s="33"/>
      <c r="I35" s="33"/>
      <c r="J35" s="33"/>
      <c r="K35" s="33"/>
      <c r="L35" s="33"/>
      <c r="M35" s="33"/>
      <c r="N35" s="33"/>
      <c r="O35" s="33"/>
      <c r="P35" s="33"/>
      <c r="Q35" s="33"/>
    </row>
    <row r="36" spans="1:17">
      <c r="A36" s="33"/>
      <c r="B36" s="33"/>
      <c r="C36" s="33"/>
      <c r="D36" s="33"/>
      <c r="E36" s="33"/>
      <c r="F36" s="33"/>
      <c r="G36" s="33"/>
      <c r="H36" s="33"/>
      <c r="I36" s="33"/>
      <c r="J36" s="33"/>
      <c r="K36" s="33"/>
      <c r="L36" s="33"/>
      <c r="M36" s="33"/>
      <c r="N36" s="33"/>
      <c r="O36" s="33"/>
      <c r="P36" s="33"/>
      <c r="Q36" s="33"/>
    </row>
    <row r="37" spans="1:17">
      <c r="A37" s="33"/>
      <c r="B37" s="33"/>
      <c r="C37" s="33"/>
      <c r="D37" s="33"/>
      <c r="E37" s="33"/>
      <c r="F37" s="33"/>
      <c r="G37" s="33"/>
      <c r="H37" s="33"/>
      <c r="I37" s="33"/>
      <c r="J37" s="33"/>
      <c r="K37" s="33"/>
      <c r="L37" s="33"/>
      <c r="M37" s="33"/>
      <c r="N37" s="33"/>
      <c r="O37" s="33"/>
      <c r="P37" s="33"/>
      <c r="Q37" s="33"/>
    </row>
    <row r="38" spans="1:17">
      <c r="A38" s="33"/>
      <c r="B38" s="33"/>
      <c r="C38" s="33"/>
      <c r="D38" s="33"/>
      <c r="E38" s="33"/>
      <c r="F38" s="33"/>
      <c r="G38" s="33"/>
      <c r="H38" s="33"/>
      <c r="I38" s="33"/>
      <c r="J38" s="33"/>
      <c r="K38" s="33"/>
      <c r="L38" s="33"/>
      <c r="M38" s="33"/>
      <c r="N38" s="33"/>
      <c r="O38" s="33"/>
      <c r="P38" s="33"/>
      <c r="Q38" s="33"/>
    </row>
    <row r="39" spans="1:17">
      <c r="A39" s="33"/>
      <c r="B39" s="33"/>
      <c r="C39" s="33"/>
      <c r="D39" s="33"/>
      <c r="E39" s="33"/>
      <c r="F39" s="33"/>
      <c r="G39" s="33"/>
      <c r="H39" s="33"/>
      <c r="I39" s="33"/>
      <c r="J39" s="33"/>
      <c r="K39" s="33"/>
      <c r="L39" s="33"/>
      <c r="M39" s="33"/>
      <c r="N39" s="33"/>
      <c r="O39" s="33"/>
      <c r="P39" s="33"/>
      <c r="Q39" s="33"/>
    </row>
    <row r="40" spans="1:17">
      <c r="A40" s="33"/>
      <c r="B40" s="33"/>
      <c r="C40" s="33"/>
      <c r="D40" s="33"/>
      <c r="E40" s="33"/>
      <c r="F40" s="33"/>
      <c r="G40" s="33"/>
      <c r="H40" s="33"/>
      <c r="I40" s="33"/>
      <c r="J40" s="33"/>
      <c r="K40" s="33"/>
      <c r="L40" s="33"/>
      <c r="M40" s="33"/>
      <c r="N40" s="33"/>
      <c r="O40" s="33"/>
      <c r="P40" s="33"/>
      <c r="Q40" s="33"/>
    </row>
    <row r="41" spans="1:17">
      <c r="A41" s="33"/>
      <c r="B41" s="33"/>
      <c r="C41" s="33"/>
      <c r="D41" s="33"/>
      <c r="E41" s="33"/>
      <c r="F41" s="33"/>
      <c r="G41" s="33"/>
      <c r="H41" s="33"/>
      <c r="I41" s="33"/>
      <c r="J41" s="33"/>
      <c r="K41" s="33"/>
      <c r="L41" s="33"/>
      <c r="M41" s="33"/>
      <c r="N41" s="33"/>
      <c r="O41" s="33"/>
      <c r="P41" s="33"/>
      <c r="Q41" s="33"/>
    </row>
    <row r="43" spans="1:17">
      <c r="A43" s="32" t="s">
        <v>68</v>
      </c>
      <c r="B43" s="33"/>
      <c r="C43" s="33"/>
      <c r="D43" s="33"/>
      <c r="E43" s="33"/>
      <c r="F43" s="33"/>
      <c r="G43" s="33"/>
      <c r="H43" s="33"/>
      <c r="I43" s="33"/>
      <c r="J43" s="33"/>
      <c r="K43" s="33"/>
      <c r="L43" s="33"/>
      <c r="M43" s="33"/>
      <c r="N43" s="33"/>
      <c r="O43" s="33"/>
      <c r="P43" s="33"/>
      <c r="Q43" s="33"/>
    </row>
    <row r="44" spans="1:17">
      <c r="A44" s="33"/>
      <c r="B44" s="33"/>
      <c r="C44" s="33"/>
      <c r="D44" s="33"/>
      <c r="E44" s="33"/>
      <c r="F44" s="33"/>
      <c r="G44" s="33"/>
      <c r="H44" s="33"/>
      <c r="I44" s="33"/>
      <c r="J44" s="33"/>
      <c r="K44" s="33"/>
      <c r="L44" s="33"/>
      <c r="M44" s="33"/>
      <c r="N44" s="33"/>
      <c r="O44" s="33"/>
      <c r="P44" s="33"/>
      <c r="Q44" s="33"/>
    </row>
    <row r="45" spans="1:17">
      <c r="A45" s="33"/>
      <c r="B45" s="33"/>
      <c r="C45" s="33"/>
      <c r="D45" s="33"/>
      <c r="E45" s="33"/>
      <c r="F45" s="33"/>
      <c r="G45" s="33"/>
      <c r="H45" s="33"/>
      <c r="I45" s="33"/>
      <c r="J45" s="33"/>
      <c r="K45" s="33"/>
      <c r="L45" s="33"/>
      <c r="M45" s="33"/>
      <c r="N45" s="33"/>
      <c r="O45" s="33"/>
      <c r="P45" s="33"/>
      <c r="Q45" s="33"/>
    </row>
    <row r="46" spans="1:17">
      <c r="A46" s="33"/>
      <c r="B46" s="33"/>
      <c r="C46" s="33"/>
      <c r="D46" s="33"/>
      <c r="E46" s="33"/>
      <c r="F46" s="33"/>
      <c r="G46" s="33"/>
      <c r="H46" s="33"/>
      <c r="I46" s="33"/>
      <c r="J46" s="33"/>
      <c r="K46" s="33"/>
      <c r="L46" s="33"/>
      <c r="M46" s="33"/>
      <c r="N46" s="33"/>
      <c r="O46" s="33"/>
      <c r="P46" s="33"/>
      <c r="Q46" s="33"/>
    </row>
    <row r="47" spans="1:17">
      <c r="A47" s="33"/>
      <c r="B47" s="33"/>
      <c r="C47" s="33"/>
      <c r="D47" s="33"/>
      <c r="E47" s="33"/>
      <c r="F47" s="33"/>
      <c r="G47" s="33"/>
      <c r="H47" s="33"/>
      <c r="I47" s="33"/>
      <c r="J47" s="33"/>
      <c r="K47" s="33"/>
      <c r="L47" s="33"/>
      <c r="M47" s="33"/>
      <c r="N47" s="33"/>
      <c r="O47" s="33"/>
      <c r="P47" s="33"/>
      <c r="Q47" s="33"/>
    </row>
    <row r="48" spans="1:17">
      <c r="A48" s="33"/>
      <c r="B48" s="33"/>
      <c r="C48" s="33"/>
      <c r="D48" s="33"/>
      <c r="E48" s="33"/>
      <c r="F48" s="33"/>
      <c r="G48" s="33"/>
      <c r="H48" s="33"/>
      <c r="I48" s="33"/>
      <c r="J48" s="33"/>
      <c r="K48" s="33"/>
      <c r="L48" s="33"/>
      <c r="M48" s="33"/>
      <c r="N48" s="33"/>
      <c r="O48" s="33"/>
      <c r="P48" s="33"/>
      <c r="Q48" s="33"/>
    </row>
    <row r="49" spans="1:17">
      <c r="A49" s="33"/>
      <c r="B49" s="33"/>
      <c r="C49" s="33"/>
      <c r="D49" s="33"/>
      <c r="E49" s="33"/>
      <c r="F49" s="33"/>
      <c r="G49" s="33"/>
      <c r="H49" s="33"/>
      <c r="I49" s="33"/>
      <c r="J49" s="33"/>
      <c r="K49" s="33"/>
      <c r="L49" s="33"/>
      <c r="M49" s="33"/>
      <c r="N49" s="33"/>
      <c r="O49" s="33"/>
      <c r="P49" s="33"/>
      <c r="Q49" s="33"/>
    </row>
    <row r="50" spans="1:17">
      <c r="A50" s="33"/>
      <c r="B50" s="33"/>
      <c r="C50" s="33"/>
      <c r="D50" s="33"/>
      <c r="E50" s="33"/>
      <c r="F50" s="33"/>
      <c r="G50" s="33"/>
      <c r="H50" s="33"/>
      <c r="I50" s="33"/>
      <c r="J50" s="33"/>
      <c r="K50" s="33"/>
      <c r="L50" s="33"/>
      <c r="M50" s="33"/>
      <c r="N50" s="33"/>
      <c r="O50" s="33"/>
      <c r="P50" s="33"/>
      <c r="Q50" s="33"/>
    </row>
    <row r="51" spans="1:17">
      <c r="A51" s="33"/>
      <c r="B51" s="33"/>
      <c r="C51" s="33"/>
      <c r="D51" s="33"/>
      <c r="E51" s="33"/>
      <c r="F51" s="33"/>
      <c r="G51" s="33"/>
      <c r="H51" s="33"/>
      <c r="I51" s="33"/>
      <c r="J51" s="33"/>
      <c r="K51" s="33"/>
      <c r="L51" s="33"/>
      <c r="M51" s="33"/>
      <c r="N51" s="33"/>
      <c r="O51" s="33"/>
      <c r="P51" s="33"/>
      <c r="Q51" s="33"/>
    </row>
    <row r="52" spans="1:17">
      <c r="A52" s="33"/>
      <c r="B52" s="33"/>
      <c r="C52" s="33"/>
      <c r="D52" s="33"/>
      <c r="E52" s="33"/>
      <c r="F52" s="33"/>
      <c r="G52" s="33"/>
      <c r="H52" s="33"/>
      <c r="I52" s="33"/>
      <c r="J52" s="33"/>
      <c r="K52" s="33"/>
      <c r="L52" s="33"/>
      <c r="M52" s="33"/>
      <c r="N52" s="33"/>
      <c r="O52" s="33"/>
      <c r="P52" s="33"/>
      <c r="Q52" s="33"/>
    </row>
    <row r="54" spans="1:17">
      <c r="A54" s="32" t="s">
        <v>69</v>
      </c>
      <c r="B54" s="33"/>
      <c r="C54" s="33"/>
      <c r="D54" s="33"/>
      <c r="E54" s="33"/>
      <c r="F54" s="33"/>
      <c r="G54" s="33"/>
      <c r="H54" s="33"/>
      <c r="I54" s="33"/>
      <c r="J54" s="33"/>
      <c r="K54" s="33"/>
      <c r="L54" s="33"/>
      <c r="M54" s="33"/>
      <c r="N54" s="33"/>
      <c r="O54" s="33"/>
      <c r="P54" s="33"/>
      <c r="Q54" s="33"/>
    </row>
    <row r="55" spans="1:17">
      <c r="A55" s="33"/>
      <c r="B55" s="33"/>
      <c r="C55" s="33"/>
      <c r="D55" s="33"/>
      <c r="E55" s="33"/>
      <c r="F55" s="33"/>
      <c r="G55" s="33"/>
      <c r="H55" s="33"/>
      <c r="I55" s="33"/>
      <c r="J55" s="33"/>
      <c r="K55" s="33"/>
      <c r="L55" s="33"/>
      <c r="M55" s="33"/>
      <c r="N55" s="33"/>
      <c r="O55" s="33"/>
      <c r="P55" s="33"/>
      <c r="Q55" s="33"/>
    </row>
    <row r="56" spans="1:17">
      <c r="A56" s="33"/>
      <c r="B56" s="33"/>
      <c r="C56" s="33"/>
      <c r="D56" s="33"/>
      <c r="E56" s="33"/>
      <c r="F56" s="33"/>
      <c r="G56" s="33"/>
      <c r="H56" s="33"/>
      <c r="I56" s="33"/>
      <c r="J56" s="33"/>
      <c r="K56" s="33"/>
      <c r="L56" s="33"/>
      <c r="M56" s="33"/>
      <c r="N56" s="33"/>
      <c r="O56" s="33"/>
      <c r="P56" s="33"/>
      <c r="Q56" s="33"/>
    </row>
    <row r="57" spans="1:17">
      <c r="A57" s="33"/>
      <c r="B57" s="33"/>
      <c r="C57" s="33"/>
      <c r="D57" s="33"/>
      <c r="E57" s="33"/>
      <c r="F57" s="33"/>
      <c r="G57" s="33"/>
      <c r="H57" s="33"/>
      <c r="I57" s="33"/>
      <c r="J57" s="33"/>
      <c r="K57" s="33"/>
      <c r="L57" s="33"/>
      <c r="M57" s="33"/>
      <c r="N57" s="33"/>
      <c r="O57" s="33"/>
      <c r="P57" s="33"/>
      <c r="Q57" s="33"/>
    </row>
    <row r="58" spans="1:17">
      <c r="A58" s="33"/>
      <c r="B58" s="33"/>
      <c r="C58" s="33"/>
      <c r="D58" s="33"/>
      <c r="E58" s="33"/>
      <c r="F58" s="33"/>
      <c r="G58" s="33"/>
      <c r="H58" s="33"/>
      <c r="I58" s="33"/>
      <c r="J58" s="33"/>
      <c r="K58" s="33"/>
      <c r="L58" s="33"/>
      <c r="M58" s="33"/>
      <c r="N58" s="33"/>
      <c r="O58" s="33"/>
      <c r="P58" s="33"/>
      <c r="Q58" s="33"/>
    </row>
    <row r="59" spans="1:17">
      <c r="A59" s="33"/>
      <c r="B59" s="33"/>
      <c r="C59" s="33"/>
      <c r="D59" s="33"/>
      <c r="E59" s="33"/>
      <c r="F59" s="33"/>
      <c r="G59" s="33"/>
      <c r="H59" s="33"/>
      <c r="I59" s="33"/>
      <c r="J59" s="33"/>
      <c r="K59" s="33"/>
      <c r="L59" s="33"/>
      <c r="M59" s="33"/>
      <c r="N59" s="33"/>
      <c r="O59" s="33"/>
      <c r="P59" s="33"/>
      <c r="Q59" s="33"/>
    </row>
    <row r="60" spans="1:17">
      <c r="A60" s="33"/>
      <c r="B60" s="33"/>
      <c r="C60" s="33"/>
      <c r="D60" s="33"/>
      <c r="E60" s="33"/>
      <c r="F60" s="33"/>
      <c r="G60" s="33"/>
      <c r="H60" s="33"/>
      <c r="I60" s="33"/>
      <c r="J60" s="33"/>
      <c r="K60" s="33"/>
      <c r="L60" s="33"/>
      <c r="M60" s="33"/>
      <c r="N60" s="33"/>
      <c r="O60" s="33"/>
      <c r="P60" s="33"/>
      <c r="Q60" s="33"/>
    </row>
    <row r="61" spans="1:17">
      <c r="A61" s="33"/>
      <c r="B61" s="33"/>
      <c r="C61" s="33"/>
      <c r="D61" s="33"/>
      <c r="E61" s="33"/>
      <c r="F61" s="33"/>
      <c r="G61" s="33"/>
      <c r="H61" s="33"/>
      <c r="I61" s="33"/>
      <c r="J61" s="33"/>
      <c r="K61" s="33"/>
      <c r="L61" s="33"/>
      <c r="M61" s="33"/>
      <c r="N61" s="33"/>
      <c r="O61" s="33"/>
      <c r="P61" s="33"/>
      <c r="Q61" s="33"/>
    </row>
    <row r="62" spans="1:17">
      <c r="A62" s="33"/>
      <c r="B62" s="33"/>
      <c r="C62" s="33"/>
      <c r="D62" s="33"/>
      <c r="E62" s="33"/>
      <c r="F62" s="33"/>
      <c r="G62" s="33"/>
      <c r="H62" s="33"/>
      <c r="I62" s="33"/>
      <c r="J62" s="33"/>
      <c r="K62" s="33"/>
      <c r="L62" s="33"/>
      <c r="M62" s="33"/>
      <c r="N62" s="33"/>
      <c r="O62" s="33"/>
      <c r="P62" s="33"/>
      <c r="Q62" s="33"/>
    </row>
    <row r="63" spans="1:17">
      <c r="A63" s="33"/>
      <c r="B63" s="33"/>
      <c r="C63" s="33"/>
      <c r="D63" s="33"/>
      <c r="E63" s="33"/>
      <c r="F63" s="33"/>
      <c r="G63" s="33"/>
      <c r="H63" s="33"/>
      <c r="I63" s="33"/>
      <c r="J63" s="33"/>
      <c r="K63" s="33"/>
      <c r="L63" s="33"/>
      <c r="M63" s="33"/>
      <c r="N63" s="33"/>
      <c r="O63" s="33"/>
      <c r="P63" s="33"/>
      <c r="Q63" s="33"/>
    </row>
  </sheetData>
  <mergeCells count="6">
    <mergeCell ref="A43:Q52"/>
    <mergeCell ref="A54:Q63"/>
    <mergeCell ref="C2:O3"/>
    <mergeCell ref="A5:Q16"/>
    <mergeCell ref="A18:Q28"/>
    <mergeCell ref="A30:Q4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E8784-6136-4B5E-83AF-FB4A7B0A102C}">
  <dimension ref="A4:J50"/>
  <sheetViews>
    <sheetView topLeftCell="A45" workbookViewId="0">
      <selection activeCell="A40" sqref="A40:C50"/>
    </sheetView>
  </sheetViews>
  <sheetFormatPr defaultRowHeight="15"/>
  <cols>
    <col min="1" max="1" width="28.140625" customWidth="1"/>
    <col min="2" max="2" width="18.7109375" customWidth="1"/>
    <col min="3" max="3" width="25.28515625" customWidth="1"/>
  </cols>
  <sheetData>
    <row r="4" spans="10:10">
      <c r="J4" s="12"/>
    </row>
    <row r="40" spans="1:6">
      <c r="A40" s="21" t="s">
        <v>70</v>
      </c>
      <c r="B40" s="22"/>
      <c r="C40" s="22"/>
      <c r="D40" s="11"/>
      <c r="E40" s="11"/>
      <c r="F40" s="11"/>
    </row>
    <row r="42" spans="1:6" ht="21" customHeight="1">
      <c r="A42" s="18" t="s">
        <v>71</v>
      </c>
      <c r="B42" s="18" t="s">
        <v>72</v>
      </c>
      <c r="C42" s="18" t="s">
        <v>73</v>
      </c>
    </row>
    <row r="43" spans="1:6" ht="45.75" customHeight="1">
      <c r="A43" s="19" t="s">
        <v>74</v>
      </c>
      <c r="B43" s="20" t="s">
        <v>75</v>
      </c>
      <c r="C43" s="20" t="s">
        <v>76</v>
      </c>
    </row>
    <row r="44" spans="1:6" ht="60" customHeight="1">
      <c r="A44" s="19" t="s">
        <v>77</v>
      </c>
      <c r="B44" s="20" t="s">
        <v>78</v>
      </c>
      <c r="C44" s="20" t="s">
        <v>79</v>
      </c>
    </row>
    <row r="45" spans="1:6" ht="52.5" customHeight="1">
      <c r="A45" s="19" t="s">
        <v>80</v>
      </c>
      <c r="B45" s="20" t="s">
        <v>81</v>
      </c>
      <c r="C45" s="20" t="s">
        <v>82</v>
      </c>
    </row>
    <row r="46" spans="1:6" ht="51.75" customHeight="1">
      <c r="A46" s="19" t="s">
        <v>83</v>
      </c>
      <c r="B46" s="20" t="s">
        <v>84</v>
      </c>
      <c r="C46" s="20" t="s">
        <v>85</v>
      </c>
    </row>
    <row r="47" spans="1:6" ht="63.75" customHeight="1">
      <c r="A47" s="19" t="s">
        <v>86</v>
      </c>
      <c r="B47" s="20" t="s">
        <v>87</v>
      </c>
      <c r="C47" s="20" t="s">
        <v>88</v>
      </c>
    </row>
    <row r="48" spans="1:6" ht="22.5" customHeight="1">
      <c r="A48" s="19" t="s">
        <v>89</v>
      </c>
      <c r="B48" s="20" t="s">
        <v>90</v>
      </c>
      <c r="C48" s="20" t="s">
        <v>91</v>
      </c>
    </row>
    <row r="49" spans="1:3" ht="48.75" customHeight="1">
      <c r="A49" s="19" t="s">
        <v>92</v>
      </c>
      <c r="B49" s="20" t="s">
        <v>93</v>
      </c>
      <c r="C49" s="20" t="s">
        <v>94</v>
      </c>
    </row>
    <row r="50" spans="1:3" ht="43.5" customHeight="1">
      <c r="A50" s="19" t="s">
        <v>95</v>
      </c>
      <c r="B50" s="20" t="s">
        <v>96</v>
      </c>
      <c r="C50" s="20" t="s">
        <v>97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Pradnya Pangavhane</dc:creator>
  <cp:keywords/>
  <dc:description/>
  <cp:lastModifiedBy>Guest User</cp:lastModifiedBy>
  <cp:revision/>
  <dcterms:created xsi:type="dcterms:W3CDTF">2026-02-15T02:17:59Z</dcterms:created>
  <dcterms:modified xsi:type="dcterms:W3CDTF">2026-02-16T15:30:18Z</dcterms:modified>
  <cp:category/>
  <cp:contentStatus/>
</cp:coreProperties>
</file>