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pradn\Downloads\"/>
    </mc:Choice>
  </mc:AlternateContent>
  <xr:revisionPtr revIDLastSave="2" documentId="13_ncr:1_{2ABFD5A5-EA35-4D66-8F30-EB23A9E629CB}" xr6:coauthVersionLast="47" xr6:coauthVersionMax="47" xr10:uidLastSave="{4FC84F19-F907-4D91-884D-56FFB42C5797}"/>
  <bookViews>
    <workbookView xWindow="-120" yWindow="-120" windowWidth="20730" windowHeight="11040" firstSheet="3" activeTab="4" xr2:uid="{00000000-000D-0000-FFFF-FFFF00000000}"/>
  </bookViews>
  <sheets>
    <sheet name="Name" sheetId="1" r:id="rId1"/>
    <sheet name="29JAN2026" sheetId="2" r:id="rId2"/>
    <sheet name="30JAN2026" sheetId="3" r:id="rId3"/>
    <sheet name="COMPARISION" sheetId="4" r:id="rId4"/>
    <sheet name="POWER BI"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43" i="3" l="1"/>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P5" i="3"/>
  <c r="P4" i="3"/>
  <c r="P3" i="3"/>
  <c r="P2" i="3"/>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alcChain>
</file>

<file path=xl/sharedStrings.xml><?xml version="1.0" encoding="utf-8"?>
<sst xmlns="http://schemas.openxmlformats.org/spreadsheetml/2006/main" count="3831" uniqueCount="1021">
  <si>
    <t>NAME : PRADNYA SHAILENDRA PANGAVHANE</t>
  </si>
  <si>
    <t>EMAIL ID : pradnyapangavhane5@gmail.com</t>
  </si>
  <si>
    <t>DEPT : ELECTRONICS AND COMPUTER ENGINEERING</t>
  </si>
  <si>
    <t>MARKET</t>
  </si>
  <si>
    <t>SERIES</t>
  </si>
  <si>
    <t>SYMBOL</t>
  </si>
  <si>
    <t>SECURITY</t>
  </si>
  <si>
    <t>PREV_CL_PR</t>
  </si>
  <si>
    <t>OPEN_PRICE</t>
  </si>
  <si>
    <t>HIGH_PRICE</t>
  </si>
  <si>
    <t>LOW_PRICE</t>
  </si>
  <si>
    <t>CLOSE_PRICE</t>
  </si>
  <si>
    <t>NET_TRDVAL</t>
  </si>
  <si>
    <t>NET_TRDQTY</t>
  </si>
  <si>
    <t>HI_52_WK</t>
  </si>
  <si>
    <t>LO_52_WK</t>
  </si>
  <si>
    <t>AVERAGE</t>
  </si>
  <si>
    <t>N</t>
  </si>
  <si>
    <t>SM</t>
  </si>
  <si>
    <t>AGUL</t>
  </si>
  <si>
    <t>A G UNIVERSAL LIMITED</t>
  </si>
  <si>
    <t>AAKAAR</t>
  </si>
  <si>
    <t>AAKAAR MEDICAL TECHNO LTD</t>
  </si>
  <si>
    <t>AARADHYA</t>
  </si>
  <si>
    <t>AARADHYA DISPOSAL INDUS L</t>
  </si>
  <si>
    <t>AATMAJ</t>
  </si>
  <si>
    <t>AATMAJ HEALTHCARE LIMITED</t>
  </si>
  <si>
    <t>ABHAPOWER</t>
  </si>
  <si>
    <t>ABHA POWER N STEEL LTD</t>
  </si>
  <si>
    <t>ABSMARINE</t>
  </si>
  <si>
    <t>ABS MARINE SERVICES LTD</t>
  </si>
  <si>
    <t>ACCENTMIC</t>
  </si>
  <si>
    <t>ACCENT MICROCELL LIMITED</t>
  </si>
  <si>
    <t>ACCORD</t>
  </si>
  <si>
    <t>ACCORD SYNERGY LIMITED</t>
  </si>
  <si>
    <t>ST</t>
  </si>
  <si>
    <t>ACCPL</t>
  </si>
  <si>
    <t>ACCRETION PHARMA LIMITED</t>
  </si>
  <si>
    <t>ACTIVEINFR</t>
  </si>
  <si>
    <t>ACTIVE INFRASTRUCTURES L</t>
  </si>
  <si>
    <t>ADDICTIVE</t>
  </si>
  <si>
    <t>ADDICTIVE LEARNING TECH L</t>
  </si>
  <si>
    <t>AUSL</t>
  </si>
  <si>
    <t>ADITYA ULTRA STEEL LTD</t>
  </si>
  <si>
    <t>AERON</t>
  </si>
  <si>
    <t>AERON COMPOSITE LIMITED</t>
  </si>
  <si>
    <t>AESTHETIK</t>
  </si>
  <si>
    <t>AESTHETIK ENGINEERS LTD</t>
  </si>
  <si>
    <t>AGARWALTUF</t>
  </si>
  <si>
    <t>AGARWAL TOUGH GLASS IND L</t>
  </si>
  <si>
    <t>AGNI</t>
  </si>
  <si>
    <t>AGNI GREEN POWER LTD</t>
  </si>
  <si>
    <t>AIMTRON</t>
  </si>
  <si>
    <t>AIMTRON ELECTRONICS LTD</t>
  </si>
  <si>
    <t>AKANKSHA</t>
  </si>
  <si>
    <t>AKANKSHA POWER N INFRA L</t>
  </si>
  <si>
    <t>AKIKO</t>
  </si>
  <si>
    <t>AKIKO GLOBAL SERVICES L</t>
  </si>
  <si>
    <t>ALCODIS</t>
  </si>
  <si>
    <t>ALCOKRAFT DISTILLERIE LTD</t>
  </si>
  <si>
    <t>ALLETEC</t>
  </si>
  <si>
    <t>ALL E TECHNOLOGIES LTD</t>
  </si>
  <si>
    <t>ALPEXSOLAR</t>
  </si>
  <si>
    <t>ALPEX SOLAR LIMITED</t>
  </si>
  <si>
    <t>AMBEY</t>
  </si>
  <si>
    <t>AMBEY LABORATORIES LTD</t>
  </si>
  <si>
    <t>AMEYA</t>
  </si>
  <si>
    <t>AMEYA PRECISION ENG LTD</t>
  </si>
  <si>
    <t>AMCL</t>
  </si>
  <si>
    <t>ANB METAL CAST LIMITED</t>
  </si>
  <si>
    <t>AISL</t>
  </si>
  <si>
    <t>ANI INTEGRATED SERV LTD.</t>
  </si>
  <si>
    <t>ANLON</t>
  </si>
  <si>
    <t>ANLON TECHNOLOGY SOL LTD</t>
  </si>
  <si>
    <t>ANNAPURNA</t>
  </si>
  <si>
    <t>ANNAPURNA SWADISHT LTD</t>
  </si>
  <si>
    <t>ANYA</t>
  </si>
  <si>
    <t>ANYA POLYTECH &amp; FERTI LTD</t>
  </si>
  <si>
    <t>APEXECO</t>
  </si>
  <si>
    <t>APEX ECOTECH LIMITED</t>
  </si>
  <si>
    <t>APRAMEYA</t>
  </si>
  <si>
    <t>APRAMEYA ENGINEERING LTD</t>
  </si>
  <si>
    <t>ARCIIL</t>
  </si>
  <si>
    <t>ARC INSULATION &amp; INSU LTD</t>
  </si>
  <si>
    <t>ARHAM</t>
  </si>
  <si>
    <t>ARHAM TECHNOLOGIES LTD</t>
  </si>
  <si>
    <t>ARIHANTACA</t>
  </si>
  <si>
    <t>ARIHANT ACADEMY LIMITED</t>
  </si>
  <si>
    <t>ARMOUR</t>
  </si>
  <si>
    <t>ARMOUR SECURITY (INDIA) L</t>
  </si>
  <si>
    <t>ARUNAYA</t>
  </si>
  <si>
    <t>ARUNAYA ORGANICS LIMITED</t>
  </si>
  <si>
    <t>ARVINDPORT</t>
  </si>
  <si>
    <t>ARVIND PORT AND INFRA LTD</t>
  </si>
  <si>
    <t>ASCOM</t>
  </si>
  <si>
    <t>ASCOM LEASIN &amp; INVEST LTD</t>
  </si>
  <si>
    <t>ASHALOG</t>
  </si>
  <si>
    <t>ASHAPURA LOGISTICS LTD</t>
  </si>
  <si>
    <t>ASHWINI</t>
  </si>
  <si>
    <t>ASHWINI CONTAINER MOVER L</t>
  </si>
  <si>
    <t>ASPIRE</t>
  </si>
  <si>
    <t>ASPIRE &amp; INNOVATIVE ADV L</t>
  </si>
  <si>
    <t>ATCENERGY</t>
  </si>
  <si>
    <t>ATC ENERGIES SYSTEM LTD</t>
  </si>
  <si>
    <t>ATMASTCO</t>
  </si>
  <si>
    <t>ATMASTCO LIMITED</t>
  </si>
  <si>
    <t>AUROIMPEX</t>
  </si>
  <si>
    <t>AURO IMPEX &amp; CHEMICALS L</t>
  </si>
  <si>
    <t>APS</t>
  </si>
  <si>
    <t>AUSTRALIAN PREM SOLAR I L</t>
  </si>
  <si>
    <t>AVANA</t>
  </si>
  <si>
    <t>AVANA ELECTROSYSTEMS LTD</t>
  </si>
  <si>
    <t>AVIANSH</t>
  </si>
  <si>
    <t>AVI ANSH TEXTILE LIMITED</t>
  </si>
  <si>
    <t>AVPINFRA</t>
  </si>
  <si>
    <t>AVP INFRACON LIMITED</t>
  </si>
  <si>
    <t>BAGDIGITAL</t>
  </si>
  <si>
    <t>B.A.G.CONVERGENCE LIMITED</t>
  </si>
  <si>
    <t>BABAFP</t>
  </si>
  <si>
    <t>BABA FOOD PROCESSING</t>
  </si>
  <si>
    <t>BAHETI</t>
  </si>
  <si>
    <t>BAHETI RECYCLING IND LTD</t>
  </si>
  <si>
    <t>BALAJIPHOS</t>
  </si>
  <si>
    <t>BALAJI PHOSPHATES LIMITED</t>
  </si>
  <si>
    <t>BARFLEX</t>
  </si>
  <si>
    <t>BARFLEX POLYFILMS LIMITED</t>
  </si>
  <si>
    <t>BASILIC</t>
  </si>
  <si>
    <t>BASILIC FLY STUDIO LTD</t>
  </si>
  <si>
    <t>BAWEJA</t>
  </si>
  <si>
    <t>BAWEJA STUDIOS LIMITED</t>
  </si>
  <si>
    <t>BEACON</t>
  </si>
  <si>
    <t>BEACON TRUSTEESHIP LTD</t>
  </si>
  <si>
    <t>BEWLTD</t>
  </si>
  <si>
    <t>BEW ENGINEERING LIMITED</t>
  </si>
  <si>
    <t>BHADORA</t>
  </si>
  <si>
    <t>BHADORA INDUSTRIES LTD</t>
  </si>
  <si>
    <t>BIKEWO</t>
  </si>
  <si>
    <t>BIKEWO GREEN TECH LIMITED</t>
  </si>
  <si>
    <t>BLUEPEBBLE</t>
  </si>
  <si>
    <t>BLUE PEBBLE LIMITED</t>
  </si>
  <si>
    <t>BMETRICS</t>
  </si>
  <si>
    <t>BOMBAY METRICS S C LTD</t>
  </si>
  <si>
    <t>BRACEPORT</t>
  </si>
  <si>
    <t>BRACE PORT LOGISTICS LTD</t>
  </si>
  <si>
    <t>BULKCORP</t>
  </si>
  <si>
    <t>BULKCORP INTERNATIONAL L</t>
  </si>
  <si>
    <t>CPS</t>
  </si>
  <si>
    <t>C P S SHAPERS LIMITED</t>
  </si>
  <si>
    <t>C2C</t>
  </si>
  <si>
    <t>C2C ADVANCED SYSTEMS LTD</t>
  </si>
  <si>
    <t>CADSYS</t>
  </si>
  <si>
    <t>CADSYS (INDIA) LIMITED</t>
  </si>
  <si>
    <t>CANARYS</t>
  </si>
  <si>
    <t>CANARYS AUTOMATIONS LTD</t>
  </si>
  <si>
    <t>CEDAAR</t>
  </si>
  <si>
    <t>CEDAAR TEXTILE LIMITED</t>
  </si>
  <si>
    <t>CELLPOINT</t>
  </si>
  <si>
    <t>CELL POINT (INDIA) LTD</t>
  </si>
  <si>
    <t>CELLECOR</t>
  </si>
  <si>
    <t>CELLECOR GADGETS LIMITED</t>
  </si>
  <si>
    <t>CMNL</t>
  </si>
  <si>
    <t>CHAMAN METALLICS LIMITED</t>
  </si>
  <si>
    <t>CHAMUNDA</t>
  </si>
  <si>
    <t>CHAMUNDA ELECTRICAL LTD</t>
  </si>
  <si>
    <t>CHANDAN</t>
  </si>
  <si>
    <t>CHANDAN HEALTHCARE LTD</t>
  </si>
  <si>
    <t>CHAVDA</t>
  </si>
  <si>
    <t>CHAVDA INFRA LIMITED</t>
  </si>
  <si>
    <t>CHETANA</t>
  </si>
  <si>
    <t>CHETANA EDUCATION LIMITED</t>
  </si>
  <si>
    <t>CLASSICEIL</t>
  </si>
  <si>
    <t>CLASSIC ELECTRODE (IND) L</t>
  </si>
  <si>
    <t>CSSL</t>
  </si>
  <si>
    <t>CLEAR SECURED SERVICES L</t>
  </si>
  <si>
    <t>COMMITTED</t>
  </si>
  <si>
    <t>COMMITTED CARGO CARE LTD</t>
  </si>
  <si>
    <t>CONNPLEX</t>
  </si>
  <si>
    <t>CONNPLEX CINEMAS LIMITED</t>
  </si>
  <si>
    <t>COOLCAPS</t>
  </si>
  <si>
    <t>COOL CAPS INDUSTRIES LTD</t>
  </si>
  <si>
    <t>CRAYONS</t>
  </si>
  <si>
    <t>CRAYONS ADVERTISING LTD</t>
  </si>
  <si>
    <t>CGRAPHICS</t>
  </si>
  <si>
    <t>CREATIVE GRAPHICS S IND L</t>
  </si>
  <si>
    <t>CURIS</t>
  </si>
  <si>
    <t>CURIS LIFESCIENCES LTD</t>
  </si>
  <si>
    <t>CMRSL</t>
  </si>
  <si>
    <t>CYBER MEDIA RES &amp; SER LTD</t>
  </si>
  <si>
    <t>DANISH</t>
  </si>
  <si>
    <t>DANISH POWER LIMITED</t>
  </si>
  <si>
    <t>DCCL</t>
  </si>
  <si>
    <t>DAR CREDIT &amp; CAPITAL LTD</t>
  </si>
  <si>
    <t>DCG</t>
  </si>
  <si>
    <t>DCG CABLES &amp; WIRES LTD</t>
  </si>
  <si>
    <t>DENEERS</t>
  </si>
  <si>
    <t>DE NEERS TOOLS LIMITED</t>
  </si>
  <si>
    <t>DEEM</t>
  </si>
  <si>
    <t>DEEM ROLL TECH LIMITED</t>
  </si>
  <si>
    <t>DELAPLEX</t>
  </si>
  <si>
    <t>DELAPLEX LIMITED</t>
  </si>
  <si>
    <t>DELTIC</t>
  </si>
  <si>
    <t>DELTA AUTOCORP LIMITED</t>
  </si>
  <si>
    <t>DHANLAXMI</t>
  </si>
  <si>
    <t>DHANLAXMI CROP SCIENCE L</t>
  </si>
  <si>
    <t>DHARARAIL</t>
  </si>
  <si>
    <t>DHARA RAIL PROJECTS LTD</t>
  </si>
  <si>
    <t>G</t>
  </si>
  <si>
    <t>DHARIWAL</t>
  </si>
  <si>
    <t>DHARIWALCORP LIMITED</t>
  </si>
  <si>
    <t>DIGIKORE</t>
  </si>
  <si>
    <t>DIGIKORE STUDIOS LIMITED</t>
  </si>
  <si>
    <t>DIVINEHIRA</t>
  </si>
  <si>
    <t>DIVINE HIRA JEWELLERS LTD</t>
  </si>
  <si>
    <t>DPEL</t>
  </si>
  <si>
    <t>DIVINE POWER ENERGY LTD</t>
  </si>
  <si>
    <t>DOLLEX</t>
  </si>
  <si>
    <t>DOLLEX AGROTECH LIMITED</t>
  </si>
  <si>
    <t>DRONE</t>
  </si>
  <si>
    <t>DRONE DESTINATION LIMITED</t>
  </si>
  <si>
    <t>DRSCARGO</t>
  </si>
  <si>
    <t>DRS CARGO MOVERS LIMITED</t>
  </si>
  <si>
    <t>DRSDILIP</t>
  </si>
  <si>
    <t>DRS DILIP ROADLINES LTD.</t>
  </si>
  <si>
    <t>DUCOL</t>
  </si>
  <si>
    <t>DUCOL ORGS AND COLOURS LT</t>
  </si>
  <si>
    <t>DUGLOBAL</t>
  </si>
  <si>
    <t>DUDIGITAL GLOBAL LIMITED</t>
  </si>
  <si>
    <t>DURLAX</t>
  </si>
  <si>
    <t>DURLAX TOP SURFACE LTD</t>
  </si>
  <si>
    <t>DYNAMIC</t>
  </si>
  <si>
    <t>DYNAMIC SRVCS &amp; SEC LTD</t>
  </si>
  <si>
    <t>EFACTOR</t>
  </si>
  <si>
    <t>E FACTOR EXPERIENCES LTD</t>
  </si>
  <si>
    <t>E2ERAIL</t>
  </si>
  <si>
    <t>E TO E TRANS INFRA LTD</t>
  </si>
  <si>
    <t>ECOLINE</t>
  </si>
  <si>
    <t>ECOLINE EXIM LIMITED</t>
  </si>
  <si>
    <t>EFFWA</t>
  </si>
  <si>
    <t>EFFWA INFRA &amp; RESEARCH L</t>
  </si>
  <si>
    <t>EFORCE</t>
  </si>
  <si>
    <t>ELECTRO FORCE (INDIA) LTD</t>
  </si>
  <si>
    <t>ELGNZ</t>
  </si>
  <si>
    <t>ELEGANZ INTERIORS LIMITED</t>
  </si>
  <si>
    <t>EMAPARTNER</t>
  </si>
  <si>
    <t>EMA PARTNERS INDIA LTD</t>
  </si>
  <si>
    <t>ETML</t>
  </si>
  <si>
    <t>EMERALD TYRE MANUF LTD</t>
  </si>
  <si>
    <t>EMKAYTOOLS</t>
  </si>
  <si>
    <t>EMKAY TAP &amp; CUT. TOOL LTD</t>
  </si>
  <si>
    <t>ENCOMPAS</t>
  </si>
  <si>
    <t>ENCOMPASS DESIGN INDIA L</t>
  </si>
  <si>
    <t>EMMIL</t>
  </si>
  <si>
    <t>ENERGY MISSION MACH IND L</t>
  </si>
  <si>
    <t>ENFUSE</t>
  </si>
  <si>
    <t>ENFUSE SOLUTIONS LIMITED</t>
  </si>
  <si>
    <t>ENSER</t>
  </si>
  <si>
    <t>ENSER COMMUNICATIONS LTD</t>
  </si>
  <si>
    <t>ENVIRO</t>
  </si>
  <si>
    <t>ENVIROTECH SYSTEMS LTD</t>
  </si>
  <si>
    <t>EEPL</t>
  </si>
  <si>
    <t>EPPELTONE ENGINEERS LTD</t>
  </si>
  <si>
    <t>EPWINDIA</t>
  </si>
  <si>
    <t>EPW INDIA LIMITED</t>
  </si>
  <si>
    <t>ESCONET</t>
  </si>
  <si>
    <t>ESCONET TECHNOLOGIES LTD</t>
  </si>
  <si>
    <t>ESPRIT</t>
  </si>
  <si>
    <t>ESPRIT STONES LIMITED</t>
  </si>
  <si>
    <t>ESFL</t>
  </si>
  <si>
    <t>ESSEN SPECIALITY FILMS L</t>
  </si>
  <si>
    <t>EXCELLENT</t>
  </si>
  <si>
    <t>EXCELLENT WIRES N PACK L</t>
  </si>
  <si>
    <t>EXIMROUTES</t>
  </si>
  <si>
    <t>EXIM ROUTES LIMITED</t>
  </si>
  <si>
    <t>FALCONTECH</t>
  </si>
  <si>
    <t>FALCON TECHNOPROJ IND LTD</t>
  </si>
  <si>
    <t>FELIX</t>
  </si>
  <si>
    <t>FELIX INDUSTRIES LTD.</t>
  </si>
  <si>
    <t>FIDEL</t>
  </si>
  <si>
    <t>FIDEL SOFTECH LIMITED</t>
  </si>
  <si>
    <t>FINBUD</t>
  </si>
  <si>
    <t>FINBUD FINANCIAL SERV LTD</t>
  </si>
  <si>
    <t>FLYSBS</t>
  </si>
  <si>
    <t>FLYSBS AVIATION LIMITED</t>
  </si>
  <si>
    <t>FWSTC</t>
  </si>
  <si>
    <t>FLYWINGS SIMULAT T C LTD</t>
  </si>
  <si>
    <t>FONEBOX</t>
  </si>
  <si>
    <t>FONEBOX RETAIL LIMITED</t>
  </si>
  <si>
    <t>FORCAS</t>
  </si>
  <si>
    <t>FORCAS STUDIO LIMITED</t>
  </si>
  <si>
    <t>FORGEAUTO</t>
  </si>
  <si>
    <t>FORGE AUTO INTERNATION L</t>
  </si>
  <si>
    <t>FRESHARA</t>
  </si>
  <si>
    <t>FRESHARA AGRO EXPORTS LTD</t>
  </si>
  <si>
    <t>FROG</t>
  </si>
  <si>
    <t>FROG INNOVATIONS LIMITED</t>
  </si>
  <si>
    <t>GAJANAND</t>
  </si>
  <si>
    <t>GAJANAND INTERNATIONAL L</t>
  </si>
  <si>
    <t>GML</t>
  </si>
  <si>
    <t>GALAXY MEDICARE LIMITED</t>
  </si>
  <si>
    <t>GGBL</t>
  </si>
  <si>
    <t>GANESH GREEN BHARAT LTD</t>
  </si>
  <si>
    <t>GANESHIN</t>
  </si>
  <si>
    <t>GANESH INFRAWORLD LIMITED</t>
  </si>
  <si>
    <t>GANGABATH</t>
  </si>
  <si>
    <t>GANGA BATH FITTINGS LTD</t>
  </si>
  <si>
    <t>GRCL</t>
  </si>
  <si>
    <t>GAYATRI RUBB AND CHEM LTD</t>
  </si>
  <si>
    <t>GLOBALPET</t>
  </si>
  <si>
    <t>GLOBAL PET INDUSTRIES LTD</t>
  </si>
  <si>
    <t>GICL</t>
  </si>
  <si>
    <t>GLOBE INTL CARRIERS LTD</t>
  </si>
  <si>
    <t>GSTL</t>
  </si>
  <si>
    <t>GLOBESECURE TECHNO LTD</t>
  </si>
  <si>
    <t>GOLDSTAR</t>
  </si>
  <si>
    <t>GOLDSTAR POWER LIMITED</t>
  </si>
  <si>
    <t>GOYALSALT</t>
  </si>
  <si>
    <t>GOYAL SALT LIMITED</t>
  </si>
  <si>
    <t>GPECO</t>
  </si>
  <si>
    <t>GP ECO SOLUTIONS INDIA L</t>
  </si>
  <si>
    <t>GCHOTELS</t>
  </si>
  <si>
    <t>GRAND CONTINENT HOTELS L</t>
  </si>
  <si>
    <t>GRAPHISAD</t>
  </si>
  <si>
    <t>GRAPHISADS LIMITED</t>
  </si>
  <si>
    <t>GREENCHEF</t>
  </si>
  <si>
    <t>GREENCHEF APPLIANCES LTD</t>
  </si>
  <si>
    <t>GREENLEAF</t>
  </si>
  <si>
    <t>GREENLEAF ENVIROTECH LTD</t>
  </si>
  <si>
    <t>GRETEX</t>
  </si>
  <si>
    <t>GRETEX INDUSTRIES LTD.</t>
  </si>
  <si>
    <t>BIRDYS</t>
  </si>
  <si>
    <t>GRILL SPLENDOUR SER LTD</t>
  </si>
  <si>
    <t>GSMFOILS</t>
  </si>
  <si>
    <t>GSM FOILS LIMITED</t>
  </si>
  <si>
    <t>GURUNANAK</t>
  </si>
  <si>
    <t>GURUNANAK AGRICULTUR IN L</t>
  </si>
  <si>
    <t>WHITEFORCE</t>
  </si>
  <si>
    <t>HAPPY SQUARE OUTSOURC S L</t>
  </si>
  <si>
    <t>HIGREEN</t>
  </si>
  <si>
    <t>HI GREEN CARBON LIMITED</t>
  </si>
  <si>
    <t>HOACFOODS</t>
  </si>
  <si>
    <t>HOAC FOODS INDIA LIMITED</t>
  </si>
  <si>
    <t>HOMESFY</t>
  </si>
  <si>
    <t>HOMESFY REALTY LIMITED</t>
  </si>
  <si>
    <t>HPTL</t>
  </si>
  <si>
    <t>HP TELECOM INDIA LIMITED</t>
  </si>
  <si>
    <t>HRHNEXT</t>
  </si>
  <si>
    <t>HRH NEXT SERVICES LIMITED</t>
  </si>
  <si>
    <t>IDEALTECHO</t>
  </si>
  <si>
    <t>IDEAL TECHNOPLAST IND LTD</t>
  </si>
  <si>
    <t>IDENTICAL</t>
  </si>
  <si>
    <t>IDENTICAL BRAINS STUDIO L</t>
  </si>
  <si>
    <t>IEML</t>
  </si>
  <si>
    <t>INDIAN EMULSIFIERS LTD</t>
  </si>
  <si>
    <t>IPHL</t>
  </si>
  <si>
    <t>INDIAN PHOSPHATE LIMITED</t>
  </si>
  <si>
    <t>INFINIUM</t>
  </si>
  <si>
    <t>INFINIUM PHARMACHEM LTD</t>
  </si>
  <si>
    <t>INFLUX</t>
  </si>
  <si>
    <t>INFLUX HEALTHTECH LIMITED</t>
  </si>
  <si>
    <t>INFOLLION</t>
  </si>
  <si>
    <t>INFOLLION RESEARCH SER L</t>
  </si>
  <si>
    <t>INNOMET</t>
  </si>
  <si>
    <t>INNOMET ADVANCED MATERI L</t>
  </si>
  <si>
    <t>ITTL</t>
  </si>
  <si>
    <t>INNOVATIVE TYRE &amp; TUBE LT</t>
  </si>
  <si>
    <t>INSPIRE</t>
  </si>
  <si>
    <t>INSPIRE FILMS LIMITED</t>
  </si>
  <si>
    <t>IPSL</t>
  </si>
  <si>
    <t>INTEGRATED PERSO SER LTD</t>
  </si>
  <si>
    <t>INM</t>
  </si>
  <si>
    <t>INTERIORS &amp; MORE LIMITED</t>
  </si>
  <si>
    <t>INVICTA</t>
  </si>
  <si>
    <t>INVICTA DIAGNOSTIC LTD</t>
  </si>
  <si>
    <t>ISHAN</t>
  </si>
  <si>
    <t>ISHAN INTERNATIONAL LTD</t>
  </si>
  <si>
    <t>ITALIANE</t>
  </si>
  <si>
    <t>ITALIAN EDIBLES LIMITED</t>
  </si>
  <si>
    <t>IWARE</t>
  </si>
  <si>
    <t>IWARE SUPPLYCHAIN SER LTD</t>
  </si>
  <si>
    <t>JAINIK</t>
  </si>
  <si>
    <t>JAINIK POWER CABLES LTD</t>
  </si>
  <si>
    <t>JALAN</t>
  </si>
  <si>
    <t>JALAN TRANSOLU. INDIA LTD</t>
  </si>
  <si>
    <t>JAYBEE</t>
  </si>
  <si>
    <t>JAY BEE LAMINATIONS LTD</t>
  </si>
  <si>
    <t>KORE</t>
  </si>
  <si>
    <t>JAY JALARAM TECHNO LTD</t>
  </si>
  <si>
    <t>JAYESH</t>
  </si>
  <si>
    <t>JAYESH LOGISTICS LIMITED</t>
  </si>
  <si>
    <t>JEYYAM</t>
  </si>
  <si>
    <t>JEYYAM GLOBAL FOODS LTD</t>
  </si>
  <si>
    <t>JFLLIFE</t>
  </si>
  <si>
    <t>JFL LIFE SCIENCES LIMITED</t>
  </si>
  <si>
    <t>JYOTIGLOBL</t>
  </si>
  <si>
    <t>JYOTI GLOBAL PLAST LTD</t>
  </si>
  <si>
    <t>K2INFRA</t>
  </si>
  <si>
    <t>K2 INFRAGEN LIMITED</t>
  </si>
  <si>
    <t>KKJEWELS</t>
  </si>
  <si>
    <t>KABRA JEWELS LIMITED</t>
  </si>
  <si>
    <t>KALANA</t>
  </si>
  <si>
    <t>KALANA ISPAT LIMITED</t>
  </si>
  <si>
    <t>KANDARP</t>
  </si>
  <si>
    <t>KANDARP DG SMART BPO LTD</t>
  </si>
  <si>
    <t>KARNIKA</t>
  </si>
  <si>
    <t>KARNIKA INDUSTRIES LTD</t>
  </si>
  <si>
    <t>KATARIA</t>
  </si>
  <si>
    <t>KATARIA INDUSTRIES LTD</t>
  </si>
  <si>
    <t>KLL</t>
  </si>
  <si>
    <t>KAUSHALYA LOGISTICS LTD</t>
  </si>
  <si>
    <t>KCEIL</t>
  </si>
  <si>
    <t>KAY CEE ENERGY &amp; INFRA L</t>
  </si>
  <si>
    <t>KAYTEX</t>
  </si>
  <si>
    <t>KAYTEX FABRICS LIMITED</t>
  </si>
  <si>
    <t>KCK</t>
  </si>
  <si>
    <t>KCK INDUSTRIES LTD</t>
  </si>
  <si>
    <t>KEN</t>
  </si>
  <si>
    <t>KEN ENTERPRISES LIMITED</t>
  </si>
  <si>
    <t>KODYTECH</t>
  </si>
  <si>
    <t>KODY TECHNOLAB LIMITED</t>
  </si>
  <si>
    <t>KONSTELEC</t>
  </si>
  <si>
    <t>KONSTELEC ENGINEERS LTD</t>
  </si>
  <si>
    <t>KONTOR</t>
  </si>
  <si>
    <t>KONTOR SPACE LIMITED</t>
  </si>
  <si>
    <t>KDL</t>
  </si>
  <si>
    <t>KORE DIGITAL LIMITED</t>
  </si>
  <si>
    <t>KOTYARK</t>
  </si>
  <si>
    <t>KOTYARK INDUSTRIES LTD</t>
  </si>
  <si>
    <t>KRISHCA</t>
  </si>
  <si>
    <t>KRISHCA STRAPPING SLTN L</t>
  </si>
  <si>
    <t>KRMAYURVED</t>
  </si>
  <si>
    <t>KRM AYURVEDA LIMITED</t>
  </si>
  <si>
    <t>KEL</t>
  </si>
  <si>
    <t>KUNDAN EDIFICE LIMITED</t>
  </si>
  <si>
    <t>LAKSHYA</t>
  </si>
  <si>
    <t>LAKSHYA POWERTECH LIMITED</t>
  </si>
  <si>
    <t>LAMOSAIC</t>
  </si>
  <si>
    <t>LAMOSAIC INDIA LIMITED</t>
  </si>
  <si>
    <t>LLOYDS</t>
  </si>
  <si>
    <t>LLOYDS LUXURIES LIMITED</t>
  </si>
  <si>
    <t>MVKAGRO</t>
  </si>
  <si>
    <t>M.V.K. AGRO FOOD PROD LTD</t>
  </si>
  <si>
    <t>MACOBSTECH</t>
  </si>
  <si>
    <t>MACOBS TECHNOLOGIES LTD</t>
  </si>
  <si>
    <t>MADHUSUDAN</t>
  </si>
  <si>
    <t>MADHUSUDAN MASALA LIMITED</t>
  </si>
  <si>
    <t>MAGSON</t>
  </si>
  <si>
    <t>MAGSON RETAIL AND DIST L</t>
  </si>
  <si>
    <t>MRIL</t>
  </si>
  <si>
    <t>MAHENDRA REALTO &amp; INFRA L</t>
  </si>
  <si>
    <t>MAHICKRA</t>
  </si>
  <si>
    <t>MAHICKRA CHEMICAL LIMITED</t>
  </si>
  <si>
    <t>MAITREYA</t>
  </si>
  <si>
    <t>MAITREYA MEDICARE LIMITED</t>
  </si>
  <si>
    <t>MPEL</t>
  </si>
  <si>
    <t>MANAS POLYMER N ENERGIE L</t>
  </si>
  <si>
    <t>MANDEEP</t>
  </si>
  <si>
    <t>MANDEEP AUTO INDUSTRIES L</t>
  </si>
  <si>
    <t>MAL</t>
  </si>
  <si>
    <t>MANGALAM ALLOYS LIMITED</t>
  </si>
  <si>
    <t>MIEL</t>
  </si>
  <si>
    <t>MANGLAM INFRA &amp; ENG LTD</t>
  </si>
  <si>
    <t>MARC</t>
  </si>
  <si>
    <t>MARC TECHNOCRATS LIMITED</t>
  </si>
  <si>
    <t>MARCO</t>
  </si>
  <si>
    <t>MARCO CABLE &amp; CONDUCTOR L</t>
  </si>
  <si>
    <t>MARINETRAN</t>
  </si>
  <si>
    <t>MARINETRANS INDIA LIMITED</t>
  </si>
  <si>
    <t>MDL</t>
  </si>
  <si>
    <t>MARVEL DECOR LIMITED</t>
  </si>
  <si>
    <t>MASON</t>
  </si>
  <si>
    <t>MASON INFRATECH LIMITED</t>
  </si>
  <si>
    <t>MASTER</t>
  </si>
  <si>
    <t>MASTER COMPONENTS LIMITED</t>
  </si>
  <si>
    <t>MGSL</t>
  </si>
  <si>
    <t>MATRIX GEO SOLUTIONS LTD</t>
  </si>
  <si>
    <t>MAXPOSURE</t>
  </si>
  <si>
    <t>MAXPOSURE LIMITED</t>
  </si>
  <si>
    <t>MAXVOLT</t>
  </si>
  <si>
    <t>MAXVOLT ENERGY INDUS L</t>
  </si>
  <si>
    <t>MCON</t>
  </si>
  <si>
    <t>MCON RASAYAN INDIA LTD</t>
  </si>
  <si>
    <t>MEDIORG</t>
  </si>
  <si>
    <t>MEDICAMEN ORGANICS LTD</t>
  </si>
  <si>
    <t>MEGAFLEX</t>
  </si>
  <si>
    <t>MEGA FLEX PLASTICS LTD</t>
  </si>
  <si>
    <t>MEGATHERM</t>
  </si>
  <si>
    <t>MEGATHERM INDUCTION LTD</t>
  </si>
  <si>
    <t>MICROPRO</t>
  </si>
  <si>
    <t>MICROPRO SOFTWARE SOL L</t>
  </si>
  <si>
    <t>MILTON</t>
  </si>
  <si>
    <t>MILTON INDUSTRIES LIMITED</t>
  </si>
  <si>
    <t>MHHL</t>
  </si>
  <si>
    <t>MOHINI HEALTH&amp;HYGIENE LTD</t>
  </si>
  <si>
    <t>MONOPHARMA</t>
  </si>
  <si>
    <t>MONO PHARMACARE LIMITED</t>
  </si>
  <si>
    <t>MONOLITH</t>
  </si>
  <si>
    <t>MONOLITHISCH INDIA LTD</t>
  </si>
  <si>
    <t>MOS</t>
  </si>
  <si>
    <t>MOS UTILITY LIMITED</t>
  </si>
  <si>
    <t>MMEL</t>
  </si>
  <si>
    <t>MOVING MEDIA ENTER LTD</t>
  </si>
  <si>
    <t>MOXSH</t>
  </si>
  <si>
    <t>MOXSH OVERSEAS EDUCON LTD</t>
  </si>
  <si>
    <t>MUNISH</t>
  </si>
  <si>
    <t>MUNISH FORGE LIMITED</t>
  </si>
  <si>
    <t>MYMUDRA</t>
  </si>
  <si>
    <t>MY MUDRA FINCORP LIMITED</t>
  </si>
  <si>
    <t>NRVANDANA</t>
  </si>
  <si>
    <t>N R VANDANA TEX IND LTD</t>
  </si>
  <si>
    <t>NAMAN</t>
  </si>
  <si>
    <t>NAMAN INDUSTRE PRXIMA LTD</t>
  </si>
  <si>
    <t>NAMOEWASTE</t>
  </si>
  <si>
    <t>NAMO EWASTE MANAGEMENT L</t>
  </si>
  <si>
    <t>NEELAM</t>
  </si>
  <si>
    <t>NEELAM LINENS &amp; GAR (I) L</t>
  </si>
  <si>
    <t>NEOCHEM</t>
  </si>
  <si>
    <t>NEOCHEM BIO SOLUTIONS LTD</t>
  </si>
  <si>
    <t>NEPHROCARE</t>
  </si>
  <si>
    <t>NEPHRO CARE INDIA LIMITED</t>
  </si>
  <si>
    <t>NEPTUNE</t>
  </si>
  <si>
    <t>NEPTUNE PETROCHEMICALS L</t>
  </si>
  <si>
    <t>CBAZAAR</t>
  </si>
  <si>
    <t>NET AVENUE TECHNOLOGIES L</t>
  </si>
  <si>
    <t>NEWJAISA</t>
  </si>
  <si>
    <t>NEWJAISA TECHNOLOGIES LTD</t>
  </si>
  <si>
    <t>NMSTEEL</t>
  </si>
  <si>
    <t>NEWMALAYALAM STEEL LTD</t>
  </si>
  <si>
    <t>NIDAN</t>
  </si>
  <si>
    <t>NIDAN LABS AND HEALTH LTD</t>
  </si>
  <si>
    <t>NIKITA</t>
  </si>
  <si>
    <t>NIKITA GRENTEC RECYCL LTD</t>
  </si>
  <si>
    <t>NIRMAN</t>
  </si>
  <si>
    <t>NIRMAN AGRI GENTICS LTD</t>
  </si>
  <si>
    <t>OBSCP</t>
  </si>
  <si>
    <t>OBSC PERFECTION LIMITED</t>
  </si>
  <si>
    <t>OMFURN</t>
  </si>
  <si>
    <t>OMFURN INDIA LIMITED</t>
  </si>
  <si>
    <t>ONDOOR</t>
  </si>
  <si>
    <t>ON DOOR CONCEPTS LIMITED</t>
  </si>
  <si>
    <t>OLIL</t>
  </si>
  <si>
    <t>ONECLICK LOGISTICS IND L</t>
  </si>
  <si>
    <t>ONYX</t>
  </si>
  <si>
    <t>ONYX BIOTEC LIMITED</t>
  </si>
  <si>
    <t>OPTIVALUE</t>
  </si>
  <si>
    <t>OPTIVALUE TEK CONSULT LTD</t>
  </si>
  <si>
    <t>ORIANA</t>
  </si>
  <si>
    <t>ORIANA POWER LIMITED</t>
  </si>
  <si>
    <t>OSELDEVICE</t>
  </si>
  <si>
    <t>OSEL DEVICES LIMITED</t>
  </si>
  <si>
    <t>OWAIS</t>
  </si>
  <si>
    <t>OWAIS METAL &amp; MINERAL</t>
  </si>
  <si>
    <t>PSRAJ</t>
  </si>
  <si>
    <t>P S RAJ STEELS LIMITED</t>
  </si>
  <si>
    <t>PROPEQUITY</t>
  </si>
  <si>
    <t>P. E. ANALYTICS LIMITED</t>
  </si>
  <si>
    <t>PARAGON</t>
  </si>
  <si>
    <t>PARAGON FINE S.C. LTD.</t>
  </si>
  <si>
    <t>PARAMATRIX</t>
  </si>
  <si>
    <t>PARAMATRIX TECHNOLOGIES L</t>
  </si>
  <si>
    <t>PARAMOUNT</t>
  </si>
  <si>
    <t>PARAMOUNT DYE TEC LIMITED</t>
  </si>
  <si>
    <t>PSFL</t>
  </si>
  <si>
    <t>PARAMOUNT SPECIALI FORG L</t>
  </si>
  <si>
    <t>PARIN</t>
  </si>
  <si>
    <t>PARIN ENTERPRISES LIMITED</t>
  </si>
  <si>
    <t>PARTH</t>
  </si>
  <si>
    <t>PARTH ELEC &amp; ENG LTD</t>
  </si>
  <si>
    <t>PARTYCRUS</t>
  </si>
  <si>
    <t>PARTY CRUISERS LIMITED</t>
  </si>
  <si>
    <t>PATILAUTOM</t>
  </si>
  <si>
    <t>PATIL AUTOMATION LIMITED</t>
  </si>
  <si>
    <t>PATTECH</t>
  </si>
  <si>
    <t>PATTECH FITWELL TUB COM L</t>
  </si>
  <si>
    <t>PELATRO</t>
  </si>
  <si>
    <t>PELATRO LIMITED</t>
  </si>
  <si>
    <t>PENTAGON</t>
  </si>
  <si>
    <t>PENTAGON RUBBER LIMITED</t>
  </si>
  <si>
    <t>SZ</t>
  </si>
  <si>
    <t>PERFECT</t>
  </si>
  <si>
    <t>PERFECT INFRAENGINEER LTD</t>
  </si>
  <si>
    <t>PCCL</t>
  </si>
  <si>
    <t>PETRO CARBON AND CHEMI L</t>
  </si>
  <si>
    <t>PHANTOMFX</t>
  </si>
  <si>
    <t>PHANTOM DIGITAL EFF LTD</t>
  </si>
  <si>
    <t>PHOGLOBAL</t>
  </si>
  <si>
    <t>PHOENIX OVERSEAS LIMITED</t>
  </si>
  <si>
    <t>PPSL</t>
  </si>
  <si>
    <t>PICTUREPOST STUDIOS LTD</t>
  </si>
  <si>
    <t>PLADAINFO</t>
  </si>
  <si>
    <t>PLADA INFOTECH SERVICES L</t>
  </si>
  <si>
    <t>POLYSIL</t>
  </si>
  <si>
    <t>POLYSIL IRRIGATION SYST L</t>
  </si>
  <si>
    <t>POSITRON</t>
  </si>
  <si>
    <t>POSITRON ENERGY LIMITED</t>
  </si>
  <si>
    <t>PRAMARA</t>
  </si>
  <si>
    <t>PRAMARA PROMOTIONS LTD</t>
  </si>
  <si>
    <t>PRANIK</t>
  </si>
  <si>
    <t>PRANIK LOGISTICS LIMITED</t>
  </si>
  <si>
    <t>PRATHAM</t>
  </si>
  <si>
    <t>PRATHAM EPC PROJECTS LTD</t>
  </si>
  <si>
    <t>PRECISION</t>
  </si>
  <si>
    <t>PRECISION METALIKS LTD</t>
  </si>
  <si>
    <t>PRLIND</t>
  </si>
  <si>
    <t>PREMIER ROADLINES LIMITED</t>
  </si>
  <si>
    <t>PREMIUM</t>
  </si>
  <si>
    <t>PREMIUM PLAST LIMITED</t>
  </si>
  <si>
    <t>PRESSTONIC</t>
  </si>
  <si>
    <t>PRESSTONIC ENGINEERING L</t>
  </si>
  <si>
    <t>PRIMECAB</t>
  </si>
  <si>
    <t>PRIME CABLE INDUSTRIES L</t>
  </si>
  <si>
    <t>PRITIKA</t>
  </si>
  <si>
    <t>PRITIKA ENG COMPO LTD</t>
  </si>
  <si>
    <t>PRIZOR</t>
  </si>
  <si>
    <t>PRIZOR VIZTECH LIMITED</t>
  </si>
  <si>
    <t>PROFX</t>
  </si>
  <si>
    <t>PRO FX TECH LIMITED</t>
  </si>
  <si>
    <t>PROLIFE</t>
  </si>
  <si>
    <t>PROLIFE INDUSTRIES LTD</t>
  </si>
  <si>
    <t>PROV</t>
  </si>
  <si>
    <t>PROVENTUS AGROCOM LIMITED</t>
  </si>
  <si>
    <t>PULZ</t>
  </si>
  <si>
    <t>PULZ ELECTRONICS LIMITED</t>
  </si>
  <si>
    <t>PURPLEUTED</t>
  </si>
  <si>
    <t>PURPLE UNITED SALES LTD</t>
  </si>
  <si>
    <t>PURVFLEXI</t>
  </si>
  <si>
    <t>PURV FLEXIPACK LIMITED</t>
  </si>
  <si>
    <t>PUSHPA</t>
  </si>
  <si>
    <t>PUSHPA JEWELLERS LIMITED</t>
  </si>
  <si>
    <t>QMSMEDI</t>
  </si>
  <si>
    <t>QMS MEDICAL ALLIED S LTD</t>
  </si>
  <si>
    <t>QUADPRO</t>
  </si>
  <si>
    <t>QUADPRO ITES LIMITED</t>
  </si>
  <si>
    <t>QUESTLAB</t>
  </si>
  <si>
    <t>QUEST LABORATORIES LTD</t>
  </si>
  <si>
    <t>RILINFRA</t>
  </si>
  <si>
    <t>RACHANA INFRA LTD</t>
  </si>
  <si>
    <t>RADIOWALLA</t>
  </si>
  <si>
    <t>RADIOWALLA NETWORK LTD</t>
  </si>
  <si>
    <t>RCDL</t>
  </si>
  <si>
    <t>RAJGOR CASTOR DERIVATI L</t>
  </si>
  <si>
    <t>RAJPUTANA</t>
  </si>
  <si>
    <t>RAJPUTANA BIODIESEL LTD</t>
  </si>
  <si>
    <t>RAJINDLTD</t>
  </si>
  <si>
    <t>RAJPUTANA INDUSTRIES LTD</t>
  </si>
  <si>
    <t>RTL</t>
  </si>
  <si>
    <t>RAMA TELECOM LIMITED</t>
  </si>
  <si>
    <t>RBS</t>
  </si>
  <si>
    <t>RAMDEVBABA SOLVENT LTD</t>
  </si>
  <si>
    <t>RAPPID</t>
  </si>
  <si>
    <t>RAPPID VALVES (INDIA) LTD</t>
  </si>
  <si>
    <t>RBMINFRA</t>
  </si>
  <si>
    <t>RBM INFRACON LIMITED</t>
  </si>
  <si>
    <t>READYMIX</t>
  </si>
  <si>
    <t>READYMIX CONSTRU MACHI L</t>
  </si>
  <si>
    <t>REFRACTORY</t>
  </si>
  <si>
    <t>REFRACTORY SHAPES LIMITED</t>
  </si>
  <si>
    <t>REMUS</t>
  </si>
  <si>
    <t>REMUS PHARMACEUTICALS L</t>
  </si>
  <si>
    <t>RNPL</t>
  </si>
  <si>
    <t>RENOL POLYCHEM LIMITED</t>
  </si>
  <si>
    <t>REXPIPES</t>
  </si>
  <si>
    <t>REX PIPES AND CABLES LTD</t>
  </si>
  <si>
    <t>REXPRO</t>
  </si>
  <si>
    <t>REXPRO ENTERPRISES LTD</t>
  </si>
  <si>
    <t>RICHA</t>
  </si>
  <si>
    <t>RICHA INFO SYSTEMS LTD</t>
  </si>
  <si>
    <t>RITEZONE</t>
  </si>
  <si>
    <t>RITE ZONE CHEMCON IND LTD</t>
  </si>
  <si>
    <t>RNFI</t>
  </si>
  <si>
    <t>RNFI SERVICES LIMITED</t>
  </si>
  <si>
    <t>ROCKINGDCE</t>
  </si>
  <si>
    <t>ROCKINGDEALS CIRCU ECO L</t>
  </si>
  <si>
    <t>ROXHITECH</t>
  </si>
  <si>
    <t>ROX HI TECH LIMITED</t>
  </si>
  <si>
    <t>RULKA</t>
  </si>
  <si>
    <t>RULKA ELECTRICALS LIMITED</t>
  </si>
  <si>
    <t>SATECH</t>
  </si>
  <si>
    <t>S A TECH SOFTWARE INDIA L</t>
  </si>
  <si>
    <t>SDREAMS</t>
  </si>
  <si>
    <t>S D RETAIL LIMITED</t>
  </si>
  <si>
    <t>SJLOGISTIC</t>
  </si>
  <si>
    <t>S J LOGISTICS (INDIA) LTD</t>
  </si>
  <si>
    <t>SAAKSHI</t>
  </si>
  <si>
    <t>SAAKSHI MEDTEC N PANELS L</t>
  </si>
  <si>
    <t>SABAR</t>
  </si>
  <si>
    <t>SABAR FLEX INDIA LIMITED</t>
  </si>
  <si>
    <t>SACHEEROME</t>
  </si>
  <si>
    <t>SACHEEROME LIMITED</t>
  </si>
  <si>
    <t>SAFEENTP</t>
  </si>
  <si>
    <t>SAFE ENTER RETAIL FIX LTD</t>
  </si>
  <si>
    <t>SAHAJSOLAR</t>
  </si>
  <si>
    <t>SAHAJ SOLAR LIMITED</t>
  </si>
  <si>
    <t>SAHANA</t>
  </si>
  <si>
    <t>SAHANA SYSTEM LIMITED</t>
  </si>
  <si>
    <t>SAHASRA</t>
  </si>
  <si>
    <t>SAHASRA ELECTRONIC SOLU L</t>
  </si>
  <si>
    <t>SAMAY</t>
  </si>
  <si>
    <t>SAMAY PROJECT SERVICES L</t>
  </si>
  <si>
    <t>SAIFL</t>
  </si>
  <si>
    <t>SAMEERA AGRO AND INFRA L</t>
  </si>
  <si>
    <t>SANGANI</t>
  </si>
  <si>
    <t>SANGANI HOSPITALS LIMITED</t>
  </si>
  <si>
    <t>SARTELE</t>
  </si>
  <si>
    <t>SAR TELEVENTURE LIMITED</t>
  </si>
  <si>
    <t>SATKARTAR</t>
  </si>
  <si>
    <t>SAT KARTAR SHOPPING LTD</t>
  </si>
  <si>
    <t>SSEGL</t>
  </si>
  <si>
    <t>SATHLOKHAR SYN E&amp;C GLOB L</t>
  </si>
  <si>
    <t>SATIPOLY</t>
  </si>
  <si>
    <t>SATI POLY PLAST LIMITED</t>
  </si>
  <si>
    <t>SATTVAENGG</t>
  </si>
  <si>
    <t>SATTVA ENGINEERING CSTN L</t>
  </si>
  <si>
    <t>SAVY</t>
  </si>
  <si>
    <t>SAVY INFRA AND LOGI LTD</t>
  </si>
  <si>
    <t>SAWALIYA</t>
  </si>
  <si>
    <t>SAWALIYA FOOD PRODUCTS L</t>
  </si>
  <si>
    <t>SELLOWRAP</t>
  </si>
  <si>
    <t>SELLOWRAP INDUSTRIES LTD</t>
  </si>
  <si>
    <t>SERVICE</t>
  </si>
  <si>
    <t>SERVICE CARE LIMITED</t>
  </si>
  <si>
    <t>SHANTHALA</t>
  </si>
  <si>
    <t>SHANTHALA FMCG PRODUCTS L</t>
  </si>
  <si>
    <t>SCML</t>
  </si>
  <si>
    <t>SHARP CHUCKS N MACHINES L</t>
  </si>
  <si>
    <t>SHEEL</t>
  </si>
  <si>
    <t>SHEEL BIOTECH LIMITED</t>
  </si>
  <si>
    <t>SHEETAL</t>
  </si>
  <si>
    <t>SHEETAL UNIVERSAL LIMITED</t>
  </si>
  <si>
    <t>SHERA</t>
  </si>
  <si>
    <t>SHERA ENERGY LIMITED</t>
  </si>
  <si>
    <t>SHIGAN</t>
  </si>
  <si>
    <t>SHIGAN QUANTUM TECH LTD</t>
  </si>
  <si>
    <t>SPCL</t>
  </si>
  <si>
    <t>SHIVALIC POWER CONTROL L</t>
  </si>
  <si>
    <t>SHIVASHRIT</t>
  </si>
  <si>
    <t>SHIVASHRIT FOODS LIMITED</t>
  </si>
  <si>
    <t>SHREEKARNI</t>
  </si>
  <si>
    <t>SHREE KARNI FABCOM LTD</t>
  </si>
  <si>
    <t>SHREEOSFM</t>
  </si>
  <si>
    <t>SHREE OSFM E-MOBILITY LTD</t>
  </si>
  <si>
    <t>TIRUPATI</t>
  </si>
  <si>
    <t>SHREE TIRUPATI BALAJEE</t>
  </si>
  <si>
    <t>SHETHJI</t>
  </si>
  <si>
    <t>SHREEJI GLOBAL FMCG LTD</t>
  </si>
  <si>
    <t>SHRIAHIMSA</t>
  </si>
  <si>
    <t>SHRI AHIMSA NATURALS LTD</t>
  </si>
  <si>
    <t>SHKSIL</t>
  </si>
  <si>
    <t>SHRI HARE-KRI SPO IRON L</t>
  </si>
  <si>
    <t>SHRIKANHA</t>
  </si>
  <si>
    <t>SHRI KANHA STAINLESS LTD</t>
  </si>
  <si>
    <t>SHRITECH</t>
  </si>
  <si>
    <t>SHRI TECHTEX LIMITED</t>
  </si>
  <si>
    <t>SHYAMDHANI</t>
  </si>
  <si>
    <t>SHYAM DHANI INDUSTRIES L</t>
  </si>
  <si>
    <t>SIDDHICOTS</t>
  </si>
  <si>
    <t>SIDDHI COTSPIN LIMITED</t>
  </si>
  <si>
    <t>SIDDHIKA</t>
  </si>
  <si>
    <t>SIDDHIKA COATINGS LIMITED</t>
  </si>
  <si>
    <t>SIGNORIA</t>
  </si>
  <si>
    <t>SIGNORIA CREATION LIMITED</t>
  </si>
  <si>
    <t>SILKFLEX</t>
  </si>
  <si>
    <t>SILKFLEX POLYMERS INDIA L</t>
  </si>
  <si>
    <t>SILKY</t>
  </si>
  <si>
    <t>SILKY OVERSEAS LIMITED</t>
  </si>
  <si>
    <t>SKP</t>
  </si>
  <si>
    <t>SKP BEARING INDUSTRI. LTD</t>
  </si>
  <si>
    <t>SLONE</t>
  </si>
  <si>
    <t>SLONE INFOSYSTEMS LIMITED</t>
  </si>
  <si>
    <t>SMARTEN</t>
  </si>
  <si>
    <t>SMARTEN POWER SYSTEMS LTD</t>
  </si>
  <si>
    <t>SMVD</t>
  </si>
  <si>
    <t>SMVD POLY PACK LIMITED</t>
  </si>
  <si>
    <t>SNEHAA</t>
  </si>
  <si>
    <t>SNEHAA ORGANICS LIMITED</t>
  </si>
  <si>
    <t>BALCO</t>
  </si>
  <si>
    <t>SOLVE PLASTIC PRODUCTS L</t>
  </si>
  <si>
    <t>SONAMAC</t>
  </si>
  <si>
    <t>SONA MACHINERY LIMITED</t>
  </si>
  <si>
    <t>SONUINFRA</t>
  </si>
  <si>
    <t>SONU INFRATECH LIMITED</t>
  </si>
  <si>
    <t>SOTAC</t>
  </si>
  <si>
    <t>SOTAC PHARMACEUTICALS LTD</t>
  </si>
  <si>
    <t>SPRL</t>
  </si>
  <si>
    <t>SP REFRACTORIES LIMITED</t>
  </si>
  <si>
    <t>SPEB</t>
  </si>
  <si>
    <t>SPEB ADHESIVES LIMITED</t>
  </si>
  <si>
    <t>SPECTSTM</t>
  </si>
  <si>
    <t>SPECTRUM TALENT MGMT LTD</t>
  </si>
  <si>
    <t>SPPPOLY</t>
  </si>
  <si>
    <t>SPP POLYMER LIMITED</t>
  </si>
  <si>
    <t>SPUNWEB</t>
  </si>
  <si>
    <t>SPUNWEB NONWOVEN LIMITED</t>
  </si>
  <si>
    <t>SSFL</t>
  </si>
  <si>
    <t>SRIVARI SPICES N FOODS L</t>
  </si>
  <si>
    <t>SRIVASAVI</t>
  </si>
  <si>
    <t>SRIVASAVI ADHESIVE TAPE L</t>
  </si>
  <si>
    <t>STUDIOLSD</t>
  </si>
  <si>
    <t>STUDIO LSD LIMITED</t>
  </si>
  <si>
    <t>SUBAHOTELS</t>
  </si>
  <si>
    <t>SUBA HOTELS LIMITED</t>
  </si>
  <si>
    <t>SOCL</t>
  </si>
  <si>
    <t>SUNDREX OIL COMPANY LTD</t>
  </si>
  <si>
    <t>SEL</t>
  </si>
  <si>
    <t>SUNGARNER ENERGIES LTD</t>
  </si>
  <si>
    <t>SUNLITE</t>
  </si>
  <si>
    <t>SUNLITE RECYCLING IND LTD</t>
  </si>
  <si>
    <t>SUNREST</t>
  </si>
  <si>
    <t>SUNREST LIFESCIENCE LTD</t>
  </si>
  <si>
    <t>SUNTECH</t>
  </si>
  <si>
    <t>SUNTECH INFRA SOLUTIONS L</t>
  </si>
  <si>
    <t>SFML</t>
  </si>
  <si>
    <t>SUPREME FACILITY MGMT LTD</t>
  </si>
  <si>
    <t>SUPREMEPWR</t>
  </si>
  <si>
    <t>SUPREME POWER EQUIPMENT L</t>
  </si>
  <si>
    <t>SURANI</t>
  </si>
  <si>
    <t>SURANI STEEL TUBES LTD.</t>
  </si>
  <si>
    <t>SWARAJ</t>
  </si>
  <si>
    <t>SWARAJ SUITING LIMITED</t>
  </si>
  <si>
    <t>SWASTIK</t>
  </si>
  <si>
    <t>SWASTIK PIPE LIMITED</t>
  </si>
  <si>
    <t>SYLVANPLY</t>
  </si>
  <si>
    <t>SYLVAN PLYBOARD (INDIA) L</t>
  </si>
  <si>
    <t>SYSTANGO</t>
  </si>
  <si>
    <t>SYSTANGO TECHNOLOGIES LTD</t>
  </si>
  <si>
    <t>TAC</t>
  </si>
  <si>
    <t>TAC INFOSEC LIMITED</t>
  </si>
  <si>
    <t>TANKUP</t>
  </si>
  <si>
    <t>TANKUP ENGINEERS LIMITED</t>
  </si>
  <si>
    <t>TAPIFRUIT</t>
  </si>
  <si>
    <t>TAPI FRUIT PROCESSING LTD</t>
  </si>
  <si>
    <t>TAURIAN</t>
  </si>
  <si>
    <t>TAURIAN MPS LIMITED</t>
  </si>
  <si>
    <t>TBI</t>
  </si>
  <si>
    <t>TBI CORN LIMITED</t>
  </si>
  <si>
    <t>TECHD</t>
  </si>
  <si>
    <t>TECHD CYBERSECURITY LTD</t>
  </si>
  <si>
    <t>TECHERA</t>
  </si>
  <si>
    <t>TECHERA ENGINEER (IND) L</t>
  </si>
  <si>
    <t>TGL</t>
  </si>
  <si>
    <t>TEERTH GOPICON LIMITED</t>
  </si>
  <si>
    <t>TEJASCARGO</t>
  </si>
  <si>
    <t>TEJAS CARGO INDIA LIMITED</t>
  </si>
  <si>
    <t>TCL</t>
  </si>
  <si>
    <t>THAAI CASTING LIMITED</t>
  </si>
  <si>
    <t>THESL</t>
  </si>
  <si>
    <t>THINKING HATS ENTER SOL L</t>
  </si>
  <si>
    <t>TIMESCAN</t>
  </si>
  <si>
    <t>TIMESCAN LOGISTICS IND L</t>
  </si>
  <si>
    <t>TRANSTEEL</t>
  </si>
  <si>
    <t>TRANSTEEL SEATING TECH L</t>
  </si>
  <si>
    <t>TECHLABS</t>
  </si>
  <si>
    <t>TRIDENT TECHLABS LIMITED</t>
  </si>
  <si>
    <t>TRIDHYA</t>
  </si>
  <si>
    <t>TRIDHYA TECH LIMITED</t>
  </si>
  <si>
    <t>TROM</t>
  </si>
  <si>
    <t>TROM INDUSTRIES LIMITED</t>
  </si>
  <si>
    <t>TRUST</t>
  </si>
  <si>
    <t>TRUST FINTECH LIMITED</t>
  </si>
  <si>
    <t>TSC</t>
  </si>
  <si>
    <t>TSC INDIA LIMITED</t>
  </si>
  <si>
    <t>TUNWAL</t>
  </si>
  <si>
    <t>TUNWAL E-MOTORS LIMITED</t>
  </si>
  <si>
    <t>UMA</t>
  </si>
  <si>
    <t>UMA CONVERTER LIMITED</t>
  </si>
  <si>
    <t>UNIHEALTH</t>
  </si>
  <si>
    <t>UNIHEALTH HOSPITALS LTD</t>
  </si>
  <si>
    <t>UHTL</t>
  </si>
  <si>
    <t>UNITED HEAT TRANSFER LTD</t>
  </si>
  <si>
    <t>USASEEDS</t>
  </si>
  <si>
    <t>UPSURGE SEEDS OF AGRI LTD</t>
  </si>
  <si>
    <t>URBAN</t>
  </si>
  <si>
    <t>URBAN ENVIRO WASTE MGMT L</t>
  </si>
  <si>
    <t>USHAFIN</t>
  </si>
  <si>
    <t>USHA FINANCIAL SERVICES L</t>
  </si>
  <si>
    <t>UCL</t>
  </si>
  <si>
    <t>USHANTI COLOUR CHEM LTD</t>
  </si>
  <si>
    <t>UTSSAV</t>
  </si>
  <si>
    <t>UTSSAV CZ GOLD JEWELS LTD</t>
  </si>
  <si>
    <t>VMARCIND</t>
  </si>
  <si>
    <t>V MARC INDIA LIMITED</t>
  </si>
  <si>
    <t>VR</t>
  </si>
  <si>
    <t>V R INFRASPACE LIMITED</t>
  </si>
  <si>
    <t>VLINFRA</t>
  </si>
  <si>
    <t>V.L.INFRAPROJECTS LIMITED</t>
  </si>
  <si>
    <t>MADHAVBAUG</t>
  </si>
  <si>
    <t>VAIDYA SANE AYUR LAB LTD</t>
  </si>
  <si>
    <t>DENTALKART</t>
  </si>
  <si>
    <t>VASA DENTICITY LIMITED</t>
  </si>
  <si>
    <t>VEEKAYEM</t>
  </si>
  <si>
    <t>VEEKAYEM FASH &amp; APP LTD</t>
  </si>
  <si>
    <t>VERITAAS</t>
  </si>
  <si>
    <t>VERITAAS ADVERTISING LTD</t>
  </si>
  <si>
    <t>VIAZ</t>
  </si>
  <si>
    <t>VIAZ TYRES LIMITED</t>
  </si>
  <si>
    <t>VICTORYEV</t>
  </si>
  <si>
    <t>VICTORY ELEC VEHICL INT L</t>
  </si>
  <si>
    <t>VIGOR</t>
  </si>
  <si>
    <t>VIGOR PLAST INDIA LIMITED</t>
  </si>
  <si>
    <t>VIJAYPD</t>
  </si>
  <si>
    <t>VIJAYPD CEUTICAL LIMITED</t>
  </si>
  <si>
    <t>VILAS</t>
  </si>
  <si>
    <t>VILAS TRANSCORE LIMITED</t>
  </si>
  <si>
    <t>VILINBIO</t>
  </si>
  <si>
    <t>VILIN BIO MED LIMITED</t>
  </si>
  <si>
    <t>VINSYS</t>
  </si>
  <si>
    <t>VINSYS IT SERVICES IND LT</t>
  </si>
  <si>
    <t>VINYAS</t>
  </si>
  <si>
    <t>VINYAS INNOVATIVE TECH L</t>
  </si>
  <si>
    <t>VGINFOTECH</t>
  </si>
  <si>
    <t>VIRTUAL GALAXY INFOTECH L</t>
  </si>
  <si>
    <t>VISAMAN</t>
  </si>
  <si>
    <t>VISAMAN GLOBAL SALES LTD</t>
  </si>
  <si>
    <t>VISHNUINFR</t>
  </si>
  <si>
    <t>VISHNUSURYA PROJ N INFR L</t>
  </si>
  <si>
    <t>VISHWAS</t>
  </si>
  <si>
    <t>VISHWAS AGRI SEEDS LTD</t>
  </si>
  <si>
    <t>VIESL</t>
  </si>
  <si>
    <t>VISION INFRA EQUIP SOL L</t>
  </si>
  <si>
    <t>VITAL</t>
  </si>
  <si>
    <t>VITAL CHEMTECH LIMITED</t>
  </si>
  <si>
    <t>VIVIANA</t>
  </si>
  <si>
    <t>VIVIANA POWER TECH LTD</t>
  </si>
  <si>
    <t>VOLERCAR</t>
  </si>
  <si>
    <t>VOLER CAR LIMITED</t>
  </si>
  <si>
    <t>WALPAR</t>
  </si>
  <si>
    <t>WALPAR NUTRITIONS LIMITED</t>
  </si>
  <si>
    <t>WINSOL</t>
  </si>
  <si>
    <t>WINSOL ENGINEERS LIMITED</t>
  </si>
  <si>
    <t>WTICAB</t>
  </si>
  <si>
    <t>WISE TRAVEL INDIA LIMITED</t>
  </si>
  <si>
    <t>WOL3D</t>
  </si>
  <si>
    <t>WOL 3D INDIA LIMITED</t>
  </si>
  <si>
    <t>WOMANCART</t>
  </si>
  <si>
    <t>WOMANCART LIMITED</t>
  </si>
  <si>
    <t>YASHOPTICS</t>
  </si>
  <si>
    <t>YASH OPTICS &amp; LENS LTD</t>
  </si>
  <si>
    <t>ZTECH</t>
  </si>
  <si>
    <t>Z-TECH (INDIA) LIMITED</t>
  </si>
  <si>
    <t>ZEAL</t>
  </si>
  <si>
    <t>ZEAL GLOBAL SERVICES LTD</t>
  </si>
  <si>
    <t>ZENITHDRUG</t>
  </si>
  <si>
    <t>ZENITH DRUGS LIMITED</t>
  </si>
  <si>
    <t>PERCENTAGE</t>
  </si>
  <si>
    <t>ALUWIND</t>
  </si>
  <si>
    <t>ALUWIND INFRA-TECH LTD</t>
  </si>
  <si>
    <t>SHUBHSHREE</t>
  </si>
  <si>
    <t>SHUBHSHREE BIOFUELS ENE L</t>
  </si>
  <si>
    <t>SAJHOTELS</t>
  </si>
  <si>
    <t>SAJ HOTELS LIMITED</t>
  </si>
  <si>
    <t>LRRPL</t>
  </si>
  <si>
    <t>LEAD REC AND RUB PROD LTD</t>
  </si>
  <si>
    <t>CLSL</t>
  </si>
  <si>
    <t>CROP LIFE SCIENCE LIMITED</t>
  </si>
  <si>
    <t>IBLFL</t>
  </si>
  <si>
    <t>IBL FINANCE LIMITED</t>
  </si>
  <si>
    <t>CURRENT</t>
  </si>
  <si>
    <t>CURRENT INFRAPROJECTS LTD</t>
  </si>
  <si>
    <t>SADHAV</t>
  </si>
  <si>
    <t>SADHAV SHIPPING LIMITED</t>
  </si>
  <si>
    <t>CONTI</t>
  </si>
  <si>
    <t>CONTINENTAL SEED CHEM LTD</t>
  </si>
  <si>
    <t>UNILEX</t>
  </si>
  <si>
    <t>UNILEX COLOURS AND CHEM L</t>
  </si>
  <si>
    <t>BLUEWATER</t>
  </si>
  <si>
    <t>BLUE WATER LOGISTICS LTD</t>
  </si>
  <si>
    <t>VDEAL</t>
  </si>
  <si>
    <t>VDEAL SYSTEM LIMITED</t>
  </si>
  <si>
    <t>ARISTO</t>
  </si>
  <si>
    <t>ARISTO BIO T AND LIFESC L</t>
  </si>
  <si>
    <t>YUDIZ</t>
  </si>
  <si>
    <t>YUDIZ SOLUTIONS LIMITED</t>
  </si>
  <si>
    <t>RAPIDFLEET</t>
  </si>
  <si>
    <t>RAPID FLEET MGT SERVICE L</t>
  </si>
  <si>
    <t>HOLMARC</t>
  </si>
  <si>
    <t>HOLMARC OPTO MECHATRO L</t>
  </si>
  <si>
    <t>VSCL</t>
  </si>
  <si>
    <t>VADIVARHE SPCLTY CHEM LTD</t>
  </si>
  <si>
    <t>GOLDKART</t>
  </si>
  <si>
    <t>GOLDKART JEWELS LIMITED</t>
  </si>
  <si>
    <t>YCCL</t>
  </si>
  <si>
    <t>YASONS CHEMEX CARE LTD</t>
  </si>
  <si>
    <t>DECCANTRAN</t>
  </si>
  <si>
    <t>DECCAN TRANSCON LEASING L</t>
  </si>
  <si>
    <t>DTL</t>
  </si>
  <si>
    <t>DIENSTEN TECH LIMITED</t>
  </si>
  <si>
    <t>UWCSL</t>
  </si>
  <si>
    <t>ULTRA WIRING CONN SYS LTD</t>
  </si>
  <si>
    <t>QVCEL</t>
  </si>
  <si>
    <t>QVC EXPORTS LIMITED</t>
  </si>
  <si>
    <t>MEDISTEP</t>
  </si>
  <si>
    <t>MEDISTEP HEALTHCARE LTD</t>
  </si>
  <si>
    <t>JIWANRAM</t>
  </si>
  <si>
    <t>JIWANRAM SHEODUTTRA IND L</t>
  </si>
  <si>
    <t>SYNOPTICS</t>
  </si>
  <si>
    <t>SYNOPTICS TECHNOLOGIES L</t>
  </si>
  <si>
    <t>QFIL</t>
  </si>
  <si>
    <t>QUALITY FOILS (INDIA) LTD</t>
  </si>
  <si>
    <t>DIFFRENCE AVERAGE</t>
  </si>
  <si>
    <t>TOP  LOSERS</t>
  </si>
  <si>
    <t>TOP   GAINERS</t>
  </si>
  <si>
    <t>Horizontal Bar Chart</t>
  </si>
  <si>
    <t>STORYLINE: The chart shows stock-wise gains and losses, highlighting a mixed market with a few strong gainers and some sharp losers.</t>
  </si>
  <si>
    <t>STEPS TO DO COMPARISION :</t>
  </si>
  <si>
    <t>ANALYSIS: Losers vs Gainers</t>
  </si>
  <si>
    <t xml:space="preserve">The chart compares percentage price movement of stocks on 29-Jan-2026, separating gainers (right side) and losers (left side).                                                        
KRMAYURVED is the top gainer (+10.61%), indicating strong buying interest and positive market sentiment.                                                        
ANNAPURNA (+6.81%) and CSSL (+4.33%) also show notable gains, reflecting moderate to strong upward momentum.                                                        
Several stocks such as ORIANA, ASHWINI, RCDL, and TRANSTEEL record small but positive gains, indicating stable performance.                                                        
On the losing side, SARTELE (-10.28%) and COOLCAPS (-10.05%) are the top losers, showing heavy selling pressure.                                                        
E2ERAIL (-9.56%) and ENVIRO (-6.30%) further indicate negative sentiment in certain stocks.                                                        
The magnitude of losses in top losers is comparable to gains of top gainers, showing high volatility in the market.                                                        
.                                                        </t>
  </si>
  <si>
    <t>1. Go to the Bhavcopy (NSE) website.</t>
  </si>
  <si>
    <t>2. Download the Equity Bhavcopy CSV file for : 29 January 30 January</t>
  </si>
  <si>
    <t>3. Select the entire data in 29_Jan_Data.
Sort by: Column: Traded Quantity THEN Order: Largest to Smallest</t>
  </si>
  <si>
    <t>4. Calculate Average of 5 Price Columns</t>
  </si>
  <si>
    <t>5. Remove Records Below 48000 (29 Jan)</t>
  </si>
  <si>
    <t>6. Remove Records Below 48000 (30 Jan)</t>
  </si>
  <si>
    <t xml:space="preserve"> Result :More stocks appear near the zero line, suggesting a mixed and cautious market condition</t>
  </si>
  <si>
    <t>7. Keep Only Required Columns</t>
  </si>
  <si>
    <t>8. Sort Both Sheets by SYMBOL</t>
  </si>
  <si>
    <t>9. Create Comparison Sheet THEN  Match Symbols in Both Sheet</t>
  </si>
  <si>
    <t>10.Calculate Difference of Average Price</t>
  </si>
  <si>
    <t>11. Sort by Difference</t>
  </si>
  <si>
    <t>Finally we get the data with negative diffrence values for the loosers and positive diffrence for gainers</t>
  </si>
  <si>
    <t xml:space="preserve">Positive Difference → Gainers                
Negative Difference → Losers                </t>
  </si>
  <si>
    <r>
      <rPr>
        <b/>
        <sz val="14"/>
        <color rgb="FF000000"/>
        <rFont val="Times New Roman"/>
      </rPr>
      <t xml:space="preserve">STORYLINE:
</t>
    </r>
    <r>
      <rPr>
        <sz val="14"/>
        <color rgb="FF000000"/>
        <rFont val="Times New Roman"/>
      </rPr>
      <t xml:space="preserve">The chart shows stock-wise gains and losses, indicating a mixed and volatile market.
</t>
    </r>
    <r>
      <rPr>
        <b/>
        <sz val="14"/>
        <color rgb="FF000000"/>
        <rFont val="Times New Roman"/>
      </rPr>
      <t>ANALYSIS</t>
    </r>
    <r>
      <rPr>
        <sz val="14"/>
        <color rgb="FF000000"/>
        <rFont val="Times New Roman"/>
      </rPr>
      <t xml:space="preserve"> (Losers vs Gainers):
ANNAPURNA (+6.81%) and CSSL (+4.33%) are the top gainers, showing strong upward momentum.
Stocks like ORIANA, ASHWINI, RCDL, and TRANSTEEL show small positive gains, indicating stability.
SARTELE (-10.28%) and COOLCAPS (-10.05%) are the top losers, reflecting heavy selling pressure.
E2ERAIL (-9.56%) and ENVIRO (-6.30%) also indicate negative sentiment.
Gains and losses are of similar magnitude, highlighting high market volatility.
</t>
    </r>
    <r>
      <rPr>
        <b/>
        <sz val="14"/>
        <color rgb="FF000000"/>
        <rFont val="Times New Roman"/>
      </rPr>
      <t xml:space="preserve">CONCLUSION:
</t>
    </r>
    <r>
      <rPr>
        <sz val="14"/>
        <color rgb="FF000000"/>
        <rFont val="Times New Roman"/>
      </rPr>
      <t>Most stocks lie near the zero line, indicating a mixed and cautious market sentiment.</t>
    </r>
  </si>
  <si>
    <r>
      <rPr>
        <b/>
        <sz val="14"/>
        <color theme="1"/>
        <rFont val="Times New Roman"/>
        <family val="1"/>
      </rPr>
      <t xml:space="preserve">STORYLINE </t>
    </r>
    <r>
      <rPr>
        <sz val="14"/>
        <color theme="1"/>
        <rFont val="Times New Roman"/>
        <family val="1"/>
      </rPr>
      <t xml:space="preserve">: The chart compares sum of average prices for stocks across 29 Jan and 30 Jan.
</t>
    </r>
    <r>
      <rPr>
        <b/>
        <sz val="14"/>
        <color theme="1"/>
        <rFont val="Times New Roman"/>
        <family val="1"/>
      </rPr>
      <t xml:space="preserve">ANALYSIS:
</t>
    </r>
    <r>
      <rPr>
        <sz val="14"/>
        <color theme="1"/>
        <rFont val="Times New Roman"/>
        <family val="1"/>
      </rPr>
      <t xml:space="preserve">ORANN is the highest contributor, dominating the market movement.
A few stocks show moderate contribution, while most have low impact.
Market performance is unevenly distributed across symbols.
</t>
    </r>
    <r>
      <rPr>
        <b/>
        <sz val="14"/>
        <color theme="1"/>
        <rFont val="Times New Roman"/>
        <family val="1"/>
      </rPr>
      <t xml:space="preserve">RESULT: 
</t>
    </r>
    <r>
      <rPr>
        <sz val="14"/>
        <color theme="1"/>
        <rFont val="Times New Roman"/>
        <family val="1"/>
      </rPr>
      <t>Overall, market movement is driven by a small number of stocks, not the entire market.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</si>
</sst>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0"/>
      <color theme="1"/>
      <name val="Times New Roman"/>
      <family val="1"/>
    </font>
    <font>
      <b/>
      <sz val="19"/>
      <color theme="1"/>
      <name val="Times New Roman"/>
      <family val="1"/>
    </font>
    <font>
      <sz val="10"/>
      <name val="Arial"/>
      <family val="2"/>
    </font>
    <font>
      <b/>
      <sz val="10"/>
      <color theme="1"/>
      <name val="Arial"/>
      <family val="2"/>
      <scheme val="minor"/>
    </font>
    <font>
      <b/>
      <sz val="15"/>
      <color theme="1"/>
      <name val="Times New Roman"/>
      <family val="1"/>
    </font>
    <font>
      <b/>
      <sz val="18"/>
      <color theme="1"/>
      <name val="Times New Roman"/>
      <family val="1"/>
    </font>
    <font>
      <b/>
      <sz val="11"/>
      <color rgb="FF000000"/>
      <name val="Times New Roman"/>
      <family val="1"/>
    </font>
    <font>
      <sz val="11"/>
      <color rgb="FF000000"/>
      <name val="Times New Roman"/>
      <family val="1"/>
    </font>
    <font>
      <sz val="10"/>
      <color theme="1"/>
      <name val="Times New Roman"/>
      <family val="1"/>
    </font>
    <font>
      <sz val="10"/>
      <color rgb="FF000000"/>
      <name val="Times New Roman"/>
      <family val="1"/>
    </font>
    <font>
      <b/>
      <sz val="13"/>
      <color theme="1"/>
      <name val="Times New Roman"/>
      <family val="1"/>
    </font>
    <font>
      <b/>
      <sz val="12"/>
      <color theme="1"/>
      <name val="Times New Roman"/>
      <family val="1"/>
    </font>
    <font>
      <sz val="12"/>
      <color theme="1"/>
      <name val="Times New Roman"/>
      <family val="1"/>
    </font>
    <font>
      <sz val="14"/>
      <color theme="1"/>
      <name val="Times New Roman"/>
      <family val="1"/>
    </font>
    <font>
      <b/>
      <sz val="14"/>
      <color theme="1"/>
      <name val="Times New Roman"/>
      <family val="1"/>
    </font>
    <font>
      <b/>
      <sz val="14"/>
      <color rgb="FF000000"/>
      <name val="Times New Roman"/>
    </font>
    <font>
      <sz val="14"/>
      <color rgb="FF000000"/>
      <name val="Times New Roman"/>
    </font>
  </fonts>
  <fills count="11">
    <fill>
      <patternFill patternType="none"/>
    </fill>
    <fill>
      <patternFill patternType="gray125"/>
    </fill>
    <fill>
      <patternFill patternType="solid">
        <fgColor rgb="FFB6D7A8"/>
        <bgColor rgb="FFB6D7A8"/>
      </patternFill>
    </fill>
    <fill>
      <patternFill patternType="solid">
        <fgColor rgb="FFDBDBDB"/>
        <bgColor rgb="FFDBDBDB"/>
      </patternFill>
    </fill>
    <fill>
      <patternFill patternType="solid">
        <fgColor rgb="FFA9D08E"/>
        <bgColor rgb="FFA9D08E"/>
      </patternFill>
    </fill>
    <fill>
      <patternFill patternType="solid">
        <fgColor rgb="FFBDD7EE"/>
        <bgColor rgb="FFBDD7EE"/>
      </patternFill>
    </fill>
    <fill>
      <patternFill patternType="solid">
        <fgColor rgb="FF93C47D"/>
        <bgColor rgb="FF93C47D"/>
      </patternFill>
    </fill>
    <fill>
      <patternFill patternType="solid">
        <fgColor rgb="FFEDEDED"/>
        <bgColor rgb="FFEDEDED"/>
      </patternFill>
    </fill>
    <fill>
      <patternFill patternType="solid">
        <fgColor rgb="FFE2EFDA"/>
        <bgColor rgb="FFE2EFDA"/>
      </patternFill>
    </fill>
    <fill>
      <patternFill patternType="solid">
        <fgColor rgb="FFCFE2F3"/>
        <bgColor rgb="FFCFE2F3"/>
      </patternFill>
    </fill>
    <fill>
      <patternFill patternType="solid">
        <fgColor rgb="FFC9DAF8"/>
        <bgColor rgb="FFC9DAF8"/>
      </patternFill>
    </fill>
  </fills>
  <borders count="1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48">
    <xf numFmtId="0" fontId="0" fillId="0" borderId="0" xfId="0"/>
    <xf numFmtId="0" fontId="1" fillId="0" borderId="0" xfId="0" applyFont="1"/>
    <xf numFmtId="0" fontId="4" fillId="0" borderId="0" xfId="0" applyFont="1"/>
    <xf numFmtId="0" fontId="7" fillId="2" borderId="7" xfId="0" applyFont="1" applyFill="1" applyBorder="1"/>
    <xf numFmtId="0" fontId="1" fillId="2" borderId="7" xfId="0" applyFont="1" applyFill="1" applyBorder="1"/>
    <xf numFmtId="0" fontId="4" fillId="2" borderId="0" xfId="0" applyFont="1" applyFill="1"/>
    <xf numFmtId="0" fontId="8" fillId="0" borderId="7" xfId="0" applyFont="1" applyBorder="1"/>
    <xf numFmtId="0" fontId="8" fillId="0" borderId="7" xfId="0" applyFont="1" applyBorder="1" applyAlignment="1">
      <alignment horizontal="right"/>
    </xf>
    <xf numFmtId="0" fontId="9" fillId="0" borderId="7" xfId="0" applyFont="1" applyBorder="1"/>
    <xf numFmtId="11" fontId="8" fillId="0" borderId="7" xfId="0" applyNumberFormat="1" applyFont="1" applyBorder="1" applyAlignment="1">
      <alignment horizontal="right"/>
    </xf>
    <xf numFmtId="10" fontId="8" fillId="0" borderId="7" xfId="0" applyNumberFormat="1" applyFont="1" applyBorder="1" applyAlignment="1">
      <alignment horizontal="right"/>
    </xf>
    <xf numFmtId="0" fontId="7" fillId="3" borderId="0" xfId="0" applyFont="1" applyFill="1"/>
    <xf numFmtId="0" fontId="7" fillId="4" borderId="0" xfId="0" applyFont="1" applyFill="1"/>
    <xf numFmtId="0" fontId="10" fillId="0" borderId="0" xfId="0" applyFont="1"/>
    <xf numFmtId="0" fontId="7" fillId="5" borderId="0" xfId="0" applyFont="1" applyFill="1"/>
    <xf numFmtId="0" fontId="9" fillId="0" borderId="0" xfId="0" applyFont="1"/>
    <xf numFmtId="0" fontId="8" fillId="7" borderId="0" xfId="0" applyFont="1" applyFill="1"/>
    <xf numFmtId="0" fontId="8" fillId="8" borderId="0" xfId="0" applyFont="1" applyFill="1"/>
    <xf numFmtId="0" fontId="8" fillId="8" borderId="0" xfId="0" applyFont="1" applyFill="1" applyAlignment="1">
      <alignment horizontal="right"/>
    </xf>
    <xf numFmtId="0" fontId="8" fillId="7" borderId="0" xfId="0" applyFont="1" applyFill="1" applyAlignment="1">
      <alignment horizontal="right"/>
    </xf>
    <xf numFmtId="0" fontId="8" fillId="5" borderId="0" xfId="0" applyFont="1" applyFill="1" applyAlignment="1">
      <alignment horizontal="right"/>
    </xf>
    <xf numFmtId="0" fontId="12" fillId="0" borderId="7" xfId="0" applyFont="1" applyBorder="1"/>
    <xf numFmtId="0" fontId="13" fillId="0" borderId="0" xfId="0" applyFont="1"/>
    <xf numFmtId="0" fontId="12" fillId="0" borderId="8" xfId="0" applyFont="1" applyBorder="1"/>
    <xf numFmtId="0" fontId="12" fillId="0" borderId="9" xfId="0" applyFont="1" applyBorder="1"/>
    <xf numFmtId="0" fontId="12" fillId="0" borderId="10" xfId="0" applyFont="1" applyBorder="1"/>
    <xf numFmtId="0" fontId="2" fillId="0" borderId="1" xfId="0" applyFont="1" applyBorder="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11" fillId="0" borderId="8" xfId="0" applyFont="1" applyBorder="1" applyAlignment="1">
      <alignment horizontal="center"/>
    </xf>
    <xf numFmtId="0" fontId="1" fillId="9" borderId="1" xfId="0" applyFont="1" applyFill="1" applyBorder="1" applyAlignment="1">
      <alignment horizontal="center"/>
    </xf>
    <xf numFmtId="0" fontId="12" fillId="0" borderId="1" xfId="0" applyFont="1" applyBorder="1" applyAlignment="1">
      <alignment wrapText="1"/>
    </xf>
    <xf numFmtId="0" fontId="14" fillId="10" borderId="1" xfId="0" applyFont="1" applyFill="1" applyBorder="1" applyAlignment="1">
      <alignment wrapText="1"/>
    </xf>
    <xf numFmtId="0" fontId="17" fillId="9" borderId="1" xfId="0" applyFont="1" applyFill="1" applyBorder="1" applyAlignment="1">
      <alignment wrapText="1"/>
    </xf>
    <xf numFmtId="0" fontId="3" fillId="0" borderId="2" xfId="0" applyFont="1" applyBorder="1" applyAlignment="1"/>
    <xf numFmtId="0" fontId="3" fillId="0" borderId="3" xfId="0" applyFont="1" applyBorder="1" applyAlignment="1"/>
    <xf numFmtId="0" fontId="3" fillId="0" borderId="4" xfId="0" applyFont="1" applyBorder="1" applyAlignment="1"/>
    <xf numFmtId="0" fontId="3" fillId="0" borderId="5" xfId="0" applyFont="1" applyBorder="1" applyAlignment="1"/>
    <xf numFmtId="0" fontId="3" fillId="0" borderId="6" xfId="0" applyFont="1" applyBorder="1" applyAlignment="1"/>
    <xf numFmtId="0" fontId="1" fillId="6" borderId="0" xfId="0" applyFont="1" applyFill="1" applyAlignment="1"/>
    <xf numFmtId="0" fontId="0" fillId="0" borderId="0" xfId="0" applyAlignment="1"/>
    <xf numFmtId="0" fontId="1" fillId="2" borderId="0" xfId="0" applyFont="1" applyFill="1" applyAlignment="1"/>
    <xf numFmtId="0" fontId="3" fillId="0" borderId="9" xfId="0" applyFont="1" applyBorder="1" applyAlignment="1"/>
    <xf numFmtId="0" fontId="3" fillId="0" borderId="10" xfId="0" applyFont="1" applyBorder="1" applyAlignment="1"/>
    <xf numFmtId="0" fontId="12" fillId="0" borderId="8" xfId="0" applyFont="1" applyBorder="1" applyAlignment="1"/>
    <xf numFmtId="0" fontId="3" fillId="0" borderId="11" xfId="0" applyFont="1" applyBorder="1" applyAlignment="1"/>
    <xf numFmtId="0" fontId="3" fillId="0" borderId="12" xfId="0" applyFont="1" applyBorder="1" applyAlignment="1"/>
    <xf numFmtId="0" fontId="12"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10</xdr:col>
      <xdr:colOff>495300</xdr:colOff>
      <xdr:row>1</xdr:row>
      <xdr:rowOff>76199</xdr:rowOff>
    </xdr:from>
    <xdr:ext cx="4200525" cy="5372101"/>
    <xdr:pic>
      <xdr:nvPicPr>
        <xdr:cNvPr id="2" name="image5.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8877300" y="276224"/>
          <a:ext cx="4200525" cy="5372101"/>
        </a:xfrm>
        <a:prstGeom prst="rect">
          <a:avLst/>
        </a:prstGeom>
        <a:noFill/>
      </xdr:spPr>
    </xdr:pic>
    <xdr:clientData fLocksWithSheet="0"/>
  </xdr:oneCellAnchor>
  <xdr:oneCellAnchor>
    <xdr:from>
      <xdr:col>19</xdr:col>
      <xdr:colOff>476250</xdr:colOff>
      <xdr:row>11</xdr:row>
      <xdr:rowOff>47625</xdr:rowOff>
    </xdr:from>
    <xdr:ext cx="3724275" cy="2705100"/>
    <xdr:pic>
      <xdr:nvPicPr>
        <xdr:cNvPr id="3" name="image1.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xfrm>
          <a:off x="17316450" y="2247900"/>
          <a:ext cx="3724275" cy="2705100"/>
        </a:xfrm>
        <a:prstGeom prst="rect">
          <a:avLst/>
        </a:prstGeom>
        <a:noFill/>
      </xdr:spPr>
    </xdr:pic>
    <xdr:clientData fLocksWithSheet="0"/>
  </xdr:oneCellAnchor>
  <xdr:oneCellAnchor>
    <xdr:from>
      <xdr:col>16</xdr:col>
      <xdr:colOff>533401</xdr:colOff>
      <xdr:row>11</xdr:row>
      <xdr:rowOff>66675</xdr:rowOff>
    </xdr:from>
    <xdr:ext cx="3048000" cy="2705100"/>
    <xdr:pic>
      <xdr:nvPicPr>
        <xdr:cNvPr id="4" name="image4.png" title="Imag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xfrm>
          <a:off x="13944601" y="2266950"/>
          <a:ext cx="3048000" cy="27051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133350</xdr:colOff>
      <xdr:row>0</xdr:row>
      <xdr:rowOff>133350</xdr:rowOff>
    </xdr:from>
    <xdr:ext cx="5867400" cy="2686050"/>
    <xdr:pic>
      <xdr:nvPicPr>
        <xdr:cNvPr id="2" name="image3.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16</xdr:row>
      <xdr:rowOff>0</xdr:rowOff>
    </xdr:from>
    <xdr:ext cx="6686550" cy="3648075"/>
    <xdr:pic>
      <xdr:nvPicPr>
        <xdr:cNvPr id="3" name="image2.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C2:L10"/>
  <sheetViews>
    <sheetView workbookViewId="0"/>
  </sheetViews>
  <sheetFormatPr defaultColWidth="12.5703125" defaultRowHeight="15.75" customHeight="1"/>
  <sheetData>
    <row r="2" spans="3:12">
      <c r="C2" s="1"/>
      <c r="D2" s="1"/>
      <c r="E2" s="1"/>
      <c r="F2" s="1"/>
      <c r="G2" s="1"/>
    </row>
    <row r="3" spans="3:12">
      <c r="C3" s="1"/>
      <c r="D3" s="26" t="s">
        <v>0</v>
      </c>
      <c r="E3" s="34"/>
      <c r="F3" s="34"/>
      <c r="G3" s="34"/>
      <c r="H3" s="34"/>
      <c r="I3" s="34"/>
      <c r="J3" s="34"/>
      <c r="K3" s="34"/>
      <c r="L3" s="35"/>
    </row>
    <row r="4" spans="3:12">
      <c r="D4" s="36"/>
      <c r="E4" s="37"/>
      <c r="F4" s="37"/>
      <c r="G4" s="37"/>
      <c r="H4" s="37"/>
      <c r="I4" s="37"/>
      <c r="J4" s="37"/>
      <c r="K4" s="37"/>
      <c r="L4" s="38"/>
    </row>
    <row r="5" spans="3:12">
      <c r="C5" s="2"/>
      <c r="D5" s="2"/>
      <c r="E5" s="2"/>
      <c r="F5" s="2"/>
      <c r="G5" s="2"/>
    </row>
    <row r="6" spans="3:12">
      <c r="C6" s="2"/>
      <c r="D6" s="27" t="s">
        <v>1</v>
      </c>
      <c r="E6" s="34"/>
      <c r="F6" s="34"/>
      <c r="G6" s="34"/>
      <c r="H6" s="34"/>
      <c r="I6" s="34"/>
      <c r="J6" s="34"/>
      <c r="K6" s="34"/>
      <c r="L6" s="35"/>
    </row>
    <row r="7" spans="3:12">
      <c r="D7" s="36"/>
      <c r="E7" s="37"/>
      <c r="F7" s="37"/>
      <c r="G7" s="37"/>
      <c r="H7" s="37"/>
      <c r="I7" s="37"/>
      <c r="J7" s="37"/>
      <c r="K7" s="37"/>
      <c r="L7" s="38"/>
    </row>
    <row r="9" spans="3:12">
      <c r="D9" s="28" t="s">
        <v>2</v>
      </c>
      <c r="E9" s="34"/>
      <c r="F9" s="34"/>
      <c r="G9" s="34"/>
      <c r="H9" s="34"/>
      <c r="I9" s="34"/>
      <c r="J9" s="34"/>
      <c r="K9" s="34"/>
      <c r="L9" s="35"/>
    </row>
    <row r="10" spans="3:12">
      <c r="D10" s="36"/>
      <c r="E10" s="37"/>
      <c r="F10" s="37"/>
      <c r="G10" s="37"/>
      <c r="H10" s="37"/>
      <c r="I10" s="37"/>
      <c r="J10" s="37"/>
      <c r="K10" s="37"/>
      <c r="L10" s="38"/>
    </row>
  </sheetData>
  <mergeCells count="3">
    <mergeCell ref="D3:L4"/>
    <mergeCell ref="D6:L7"/>
    <mergeCell ref="D9:L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461"/>
  <sheetViews>
    <sheetView workbookViewId="0"/>
  </sheetViews>
  <sheetFormatPr defaultColWidth="12.5703125" defaultRowHeight="15.75" customHeight="1"/>
  <sheetData>
    <row r="1" spans="1:25">
      <c r="A1" s="3" t="s">
        <v>3</v>
      </c>
      <c r="B1" s="3" t="s">
        <v>4</v>
      </c>
      <c r="C1" s="3" t="s">
        <v>5</v>
      </c>
      <c r="D1" s="3" t="s">
        <v>6</v>
      </c>
      <c r="E1" s="3" t="s">
        <v>7</v>
      </c>
      <c r="F1" s="3" t="s">
        <v>8</v>
      </c>
      <c r="G1" s="3" t="s">
        <v>9</v>
      </c>
      <c r="H1" s="3" t="s">
        <v>10</v>
      </c>
      <c r="I1" s="3" t="s">
        <v>11</v>
      </c>
      <c r="J1" s="3" t="s">
        <v>12</v>
      </c>
      <c r="K1" s="3" t="s">
        <v>13</v>
      </c>
      <c r="L1" s="3" t="s">
        <v>14</v>
      </c>
      <c r="M1" s="3" t="s">
        <v>15</v>
      </c>
      <c r="N1" s="4" t="s">
        <v>16</v>
      </c>
      <c r="O1" s="5"/>
      <c r="P1" s="5"/>
      <c r="Q1" s="5"/>
      <c r="R1" s="5"/>
      <c r="S1" s="5"/>
      <c r="T1" s="5"/>
      <c r="U1" s="5"/>
      <c r="V1" s="5"/>
      <c r="W1" s="5"/>
      <c r="X1" s="5"/>
      <c r="Y1" s="5"/>
    </row>
    <row r="2" spans="1:25" ht="15.75" customHeight="1">
      <c r="A2" s="6" t="s">
        <v>17</v>
      </c>
      <c r="B2" s="6" t="s">
        <v>18</v>
      </c>
      <c r="C2" s="6" t="s">
        <v>19</v>
      </c>
      <c r="D2" s="6" t="s">
        <v>20</v>
      </c>
      <c r="E2" s="7">
        <v>67.900000000000006</v>
      </c>
      <c r="F2" s="7">
        <v>65</v>
      </c>
      <c r="G2" s="7">
        <v>71.25</v>
      </c>
      <c r="H2" s="7">
        <v>65</v>
      </c>
      <c r="I2" s="7">
        <v>69.7</v>
      </c>
      <c r="J2" s="7">
        <v>1085500</v>
      </c>
      <c r="K2" s="7">
        <v>16000</v>
      </c>
      <c r="L2" s="7">
        <v>71.25</v>
      </c>
      <c r="M2" s="7">
        <v>37.299999999999997</v>
      </c>
      <c r="N2" s="8">
        <f t="shared" ref="N2:N461" si="0">AVERAGE(F2,G2,H2,I2,E2)</f>
        <v>67.77000000000001</v>
      </c>
    </row>
    <row r="3" spans="1:25" ht="15.75" customHeight="1">
      <c r="A3" s="6" t="s">
        <v>17</v>
      </c>
      <c r="B3" s="6" t="s">
        <v>18</v>
      </c>
      <c r="C3" s="6" t="s">
        <v>21</v>
      </c>
      <c r="D3" s="6" t="s">
        <v>22</v>
      </c>
      <c r="E3" s="7">
        <v>61</v>
      </c>
      <c r="F3" s="7">
        <v>56.1</v>
      </c>
      <c r="G3" s="7">
        <v>58.6</v>
      </c>
      <c r="H3" s="7">
        <v>56.1</v>
      </c>
      <c r="I3" s="7">
        <v>56.95</v>
      </c>
      <c r="J3" s="7">
        <v>1004960</v>
      </c>
      <c r="K3" s="7">
        <v>17600</v>
      </c>
      <c r="L3" s="7">
        <v>105</v>
      </c>
      <c r="M3" s="7">
        <v>56</v>
      </c>
      <c r="N3" s="8">
        <f t="shared" si="0"/>
        <v>57.75</v>
      </c>
    </row>
    <row r="4" spans="1:25" ht="15.75" customHeight="1">
      <c r="A4" s="6" t="s">
        <v>17</v>
      </c>
      <c r="B4" s="6" t="s">
        <v>18</v>
      </c>
      <c r="C4" s="6" t="s">
        <v>23</v>
      </c>
      <c r="D4" s="6" t="s">
        <v>24</v>
      </c>
      <c r="E4" s="7">
        <v>121</v>
      </c>
      <c r="F4" s="7">
        <v>113</v>
      </c>
      <c r="G4" s="7">
        <v>118</v>
      </c>
      <c r="H4" s="7">
        <v>113</v>
      </c>
      <c r="I4" s="7">
        <v>117</v>
      </c>
      <c r="J4" s="7">
        <v>840000</v>
      </c>
      <c r="K4" s="7">
        <v>7200</v>
      </c>
      <c r="L4" s="7">
        <v>182</v>
      </c>
      <c r="M4" s="7">
        <v>97.5</v>
      </c>
      <c r="N4" s="8">
        <f t="shared" si="0"/>
        <v>116.4</v>
      </c>
    </row>
    <row r="5" spans="1:25" ht="15.75" customHeight="1">
      <c r="A5" s="6" t="s">
        <v>17</v>
      </c>
      <c r="B5" s="6" t="s">
        <v>18</v>
      </c>
      <c r="C5" s="6" t="s">
        <v>25</v>
      </c>
      <c r="D5" s="6" t="s">
        <v>26</v>
      </c>
      <c r="E5" s="7">
        <v>21.1</v>
      </c>
      <c r="F5" s="7">
        <v>21.45</v>
      </c>
      <c r="G5" s="7">
        <v>23.6</v>
      </c>
      <c r="H5" s="7">
        <v>21.15</v>
      </c>
      <c r="I5" s="7">
        <v>22.75</v>
      </c>
      <c r="J5" s="7">
        <v>442600</v>
      </c>
      <c r="K5" s="7">
        <v>20000</v>
      </c>
      <c r="L5" s="7">
        <v>25.5</v>
      </c>
      <c r="M5" s="7">
        <v>14.5</v>
      </c>
      <c r="N5" s="8">
        <f t="shared" si="0"/>
        <v>22.009999999999998</v>
      </c>
    </row>
    <row r="6" spans="1:25" ht="15.75" customHeight="1">
      <c r="A6" s="6" t="s">
        <v>17</v>
      </c>
      <c r="B6" s="6" t="s">
        <v>18</v>
      </c>
      <c r="C6" s="6" t="s">
        <v>27</v>
      </c>
      <c r="D6" s="6" t="s">
        <v>28</v>
      </c>
      <c r="E6" s="7">
        <v>34.549999999999997</v>
      </c>
      <c r="F6" s="7">
        <v>32.5</v>
      </c>
      <c r="G6" s="7">
        <v>33.950000000000003</v>
      </c>
      <c r="H6" s="7">
        <v>32.5</v>
      </c>
      <c r="I6" s="7">
        <v>33.5</v>
      </c>
      <c r="J6" s="7">
        <v>318320</v>
      </c>
      <c r="K6" s="7">
        <v>9600</v>
      </c>
      <c r="L6" s="7">
        <v>55.25</v>
      </c>
      <c r="M6" s="7">
        <v>26.45</v>
      </c>
      <c r="N6" s="8">
        <f t="shared" si="0"/>
        <v>33.4</v>
      </c>
    </row>
    <row r="7" spans="1:25" ht="15.75" customHeight="1">
      <c r="A7" s="6" t="s">
        <v>17</v>
      </c>
      <c r="B7" s="6" t="s">
        <v>18</v>
      </c>
      <c r="C7" s="6" t="s">
        <v>29</v>
      </c>
      <c r="D7" s="6" t="s">
        <v>30</v>
      </c>
      <c r="E7" s="7">
        <v>181.75</v>
      </c>
      <c r="F7" s="7">
        <v>181</v>
      </c>
      <c r="G7" s="7">
        <v>186</v>
      </c>
      <c r="H7" s="7">
        <v>178.1</v>
      </c>
      <c r="I7" s="7">
        <v>178.85</v>
      </c>
      <c r="J7" s="7">
        <v>2716925</v>
      </c>
      <c r="K7" s="7">
        <v>15000</v>
      </c>
      <c r="L7" s="7">
        <v>259</v>
      </c>
      <c r="M7" s="7">
        <v>92.1</v>
      </c>
      <c r="N7" s="8">
        <f t="shared" si="0"/>
        <v>181.14000000000001</v>
      </c>
    </row>
    <row r="8" spans="1:25" ht="15.75" customHeight="1">
      <c r="A8" s="6" t="s">
        <v>17</v>
      </c>
      <c r="B8" s="6" t="s">
        <v>18</v>
      </c>
      <c r="C8" s="6" t="s">
        <v>31</v>
      </c>
      <c r="D8" s="6" t="s">
        <v>32</v>
      </c>
      <c r="E8" s="7">
        <v>321.39999999999998</v>
      </c>
      <c r="F8" s="7">
        <v>324.95</v>
      </c>
      <c r="G8" s="7">
        <v>328</v>
      </c>
      <c r="H8" s="7">
        <v>319</v>
      </c>
      <c r="I8" s="7">
        <v>321.7</v>
      </c>
      <c r="J8" s="7">
        <v>5349750</v>
      </c>
      <c r="K8" s="7">
        <v>16500</v>
      </c>
      <c r="L8" s="7">
        <v>378</v>
      </c>
      <c r="M8" s="7">
        <v>180</v>
      </c>
      <c r="N8" s="8">
        <f t="shared" si="0"/>
        <v>323.01000000000005</v>
      </c>
    </row>
    <row r="9" spans="1:25" ht="15.75" customHeight="1">
      <c r="A9" s="6" t="s">
        <v>17</v>
      </c>
      <c r="B9" s="6" t="s">
        <v>18</v>
      </c>
      <c r="C9" s="6" t="s">
        <v>33</v>
      </c>
      <c r="D9" s="6" t="s">
        <v>34</v>
      </c>
      <c r="E9" s="7">
        <v>27.6</v>
      </c>
      <c r="F9" s="7">
        <v>28.9</v>
      </c>
      <c r="G9" s="7">
        <v>28.95</v>
      </c>
      <c r="H9" s="7">
        <v>28.9</v>
      </c>
      <c r="I9" s="7">
        <v>28.95</v>
      </c>
      <c r="J9" s="7">
        <v>115700</v>
      </c>
      <c r="K9" s="7">
        <v>4000</v>
      </c>
      <c r="L9" s="7">
        <v>31.65</v>
      </c>
      <c r="M9" s="7">
        <v>17.5</v>
      </c>
      <c r="N9" s="8">
        <f t="shared" si="0"/>
        <v>28.660000000000004</v>
      </c>
    </row>
    <row r="10" spans="1:25" ht="15.75" customHeight="1">
      <c r="A10" s="6" t="s">
        <v>17</v>
      </c>
      <c r="B10" s="6" t="s">
        <v>35</v>
      </c>
      <c r="C10" s="6" t="s">
        <v>36</v>
      </c>
      <c r="D10" s="6" t="s">
        <v>37</v>
      </c>
      <c r="E10" s="7">
        <v>67.25</v>
      </c>
      <c r="F10" s="7">
        <v>67.3</v>
      </c>
      <c r="G10" s="7">
        <v>67.400000000000006</v>
      </c>
      <c r="H10" s="7">
        <v>67.3</v>
      </c>
      <c r="I10" s="7">
        <v>67.400000000000006</v>
      </c>
      <c r="J10" s="7">
        <v>242400</v>
      </c>
      <c r="K10" s="7">
        <v>3600</v>
      </c>
      <c r="L10" s="7">
        <v>102.5</v>
      </c>
      <c r="M10" s="7">
        <v>53.8</v>
      </c>
      <c r="N10" s="8">
        <f t="shared" si="0"/>
        <v>67.33</v>
      </c>
    </row>
    <row r="11" spans="1:25" ht="15.75" customHeight="1">
      <c r="A11" s="6" t="s">
        <v>17</v>
      </c>
      <c r="B11" s="6" t="s">
        <v>18</v>
      </c>
      <c r="C11" s="6" t="s">
        <v>38</v>
      </c>
      <c r="D11" s="6" t="s">
        <v>39</v>
      </c>
      <c r="E11" s="7">
        <v>170</v>
      </c>
      <c r="F11" s="7">
        <v>170</v>
      </c>
      <c r="G11" s="7">
        <v>170</v>
      </c>
      <c r="H11" s="7">
        <v>170</v>
      </c>
      <c r="I11" s="7">
        <v>170</v>
      </c>
      <c r="J11" s="7">
        <v>204000</v>
      </c>
      <c r="K11" s="7">
        <v>1200</v>
      </c>
      <c r="L11" s="7">
        <v>190</v>
      </c>
      <c r="M11" s="7">
        <v>147.05000000000001</v>
      </c>
      <c r="N11" s="8">
        <f t="shared" si="0"/>
        <v>170</v>
      </c>
    </row>
    <row r="12" spans="1:25" ht="15.75" customHeight="1">
      <c r="A12" s="6" t="s">
        <v>17</v>
      </c>
      <c r="B12" s="6" t="s">
        <v>18</v>
      </c>
      <c r="C12" s="6" t="s">
        <v>40</v>
      </c>
      <c r="D12" s="6" t="s">
        <v>41</v>
      </c>
      <c r="E12" s="7">
        <v>104.8</v>
      </c>
      <c r="F12" s="7">
        <v>100.5</v>
      </c>
      <c r="G12" s="7">
        <v>103.4</v>
      </c>
      <c r="H12" s="7">
        <v>100.5</v>
      </c>
      <c r="I12" s="7">
        <v>102.15</v>
      </c>
      <c r="J12" s="7">
        <v>457675</v>
      </c>
      <c r="K12" s="7">
        <v>4500</v>
      </c>
      <c r="L12" s="7">
        <v>321</v>
      </c>
      <c r="M12" s="7">
        <v>99.5</v>
      </c>
      <c r="N12" s="8">
        <f t="shared" si="0"/>
        <v>102.27</v>
      </c>
    </row>
    <row r="13" spans="1:25" ht="15.75" customHeight="1">
      <c r="A13" s="6" t="s">
        <v>17</v>
      </c>
      <c r="B13" s="6" t="s">
        <v>18</v>
      </c>
      <c r="C13" s="6" t="s">
        <v>42</v>
      </c>
      <c r="D13" s="6" t="s">
        <v>43</v>
      </c>
      <c r="E13" s="7">
        <v>22.7</v>
      </c>
      <c r="F13" s="7">
        <v>23.8</v>
      </c>
      <c r="G13" s="7">
        <v>23.8</v>
      </c>
      <c r="H13" s="7">
        <v>23.8</v>
      </c>
      <c r="I13" s="7">
        <v>23.8</v>
      </c>
      <c r="J13" s="7">
        <v>47600</v>
      </c>
      <c r="K13" s="7">
        <v>2000</v>
      </c>
      <c r="L13" s="7">
        <v>48.3</v>
      </c>
      <c r="M13" s="7">
        <v>21.35</v>
      </c>
      <c r="N13" s="8">
        <f t="shared" si="0"/>
        <v>23.580000000000002</v>
      </c>
    </row>
    <row r="14" spans="1:25" ht="15.75" customHeight="1">
      <c r="A14" s="6" t="s">
        <v>17</v>
      </c>
      <c r="B14" s="6" t="s">
        <v>18</v>
      </c>
      <c r="C14" s="6" t="s">
        <v>44</v>
      </c>
      <c r="D14" s="6" t="s">
        <v>45</v>
      </c>
      <c r="E14" s="7">
        <v>96.55</v>
      </c>
      <c r="F14" s="7">
        <v>92</v>
      </c>
      <c r="G14" s="7">
        <v>95.55</v>
      </c>
      <c r="H14" s="7">
        <v>92</v>
      </c>
      <c r="I14" s="7">
        <v>95</v>
      </c>
      <c r="J14" s="7">
        <v>850600</v>
      </c>
      <c r="K14" s="7">
        <v>9000</v>
      </c>
      <c r="L14" s="7">
        <v>167.6</v>
      </c>
      <c r="M14" s="7">
        <v>89.05</v>
      </c>
      <c r="N14" s="8">
        <f t="shared" si="0"/>
        <v>94.22</v>
      </c>
    </row>
    <row r="15" spans="1:25" ht="15.75" customHeight="1">
      <c r="A15" s="6" t="s">
        <v>17</v>
      </c>
      <c r="B15" s="6" t="s">
        <v>18</v>
      </c>
      <c r="C15" s="6" t="s">
        <v>46</v>
      </c>
      <c r="D15" s="6" t="s">
        <v>47</v>
      </c>
      <c r="E15" s="7">
        <v>86</v>
      </c>
      <c r="F15" s="7">
        <v>86</v>
      </c>
      <c r="G15" s="7">
        <v>87.5</v>
      </c>
      <c r="H15" s="7">
        <v>81.349999999999994</v>
      </c>
      <c r="I15" s="7">
        <v>82.2</v>
      </c>
      <c r="J15" s="7">
        <v>2538750</v>
      </c>
      <c r="K15" s="7">
        <v>30000</v>
      </c>
      <c r="L15" s="7">
        <v>155.6</v>
      </c>
      <c r="M15" s="7">
        <v>60</v>
      </c>
      <c r="N15" s="8">
        <f t="shared" si="0"/>
        <v>84.61</v>
      </c>
    </row>
    <row r="16" spans="1:25" ht="15.75" customHeight="1">
      <c r="A16" s="6" t="s">
        <v>17</v>
      </c>
      <c r="B16" s="6" t="s">
        <v>18</v>
      </c>
      <c r="C16" s="6" t="s">
        <v>48</v>
      </c>
      <c r="D16" s="6" t="s">
        <v>49</v>
      </c>
      <c r="E16" s="7">
        <v>98.85</v>
      </c>
      <c r="F16" s="7">
        <v>99.1</v>
      </c>
      <c r="G16" s="7">
        <v>101</v>
      </c>
      <c r="H16" s="7">
        <v>98.85</v>
      </c>
      <c r="I16" s="7">
        <v>99.15</v>
      </c>
      <c r="J16" s="7">
        <v>3835440</v>
      </c>
      <c r="K16" s="7">
        <v>38400</v>
      </c>
      <c r="L16" s="7">
        <v>174.05</v>
      </c>
      <c r="M16" s="7">
        <v>81</v>
      </c>
      <c r="N16" s="8">
        <f t="shared" si="0"/>
        <v>99.390000000000015</v>
      </c>
    </row>
    <row r="17" spans="1:14" ht="15.75" customHeight="1">
      <c r="A17" s="6" t="s">
        <v>17</v>
      </c>
      <c r="B17" s="6" t="s">
        <v>18</v>
      </c>
      <c r="C17" s="6" t="s">
        <v>50</v>
      </c>
      <c r="D17" s="6" t="s">
        <v>51</v>
      </c>
      <c r="E17" s="7">
        <v>20.100000000000001</v>
      </c>
      <c r="F17" s="7">
        <v>20</v>
      </c>
      <c r="G17" s="7">
        <v>20</v>
      </c>
      <c r="H17" s="7">
        <v>20</v>
      </c>
      <c r="I17" s="7">
        <v>20</v>
      </c>
      <c r="J17" s="7">
        <v>50000</v>
      </c>
      <c r="K17" s="7">
        <v>2500</v>
      </c>
      <c r="L17" s="7">
        <v>43.35</v>
      </c>
      <c r="M17" s="7">
        <v>17.899999999999999</v>
      </c>
      <c r="N17" s="8">
        <f t="shared" si="0"/>
        <v>20.02</v>
      </c>
    </row>
    <row r="18" spans="1:14" ht="15.75" customHeight="1">
      <c r="A18" s="6" t="s">
        <v>17</v>
      </c>
      <c r="B18" s="6" t="s">
        <v>35</v>
      </c>
      <c r="C18" s="6" t="s">
        <v>52</v>
      </c>
      <c r="D18" s="6" t="s">
        <v>53</v>
      </c>
      <c r="E18" s="7">
        <v>737.65</v>
      </c>
      <c r="F18" s="7">
        <v>726.7</v>
      </c>
      <c r="G18" s="7">
        <v>730</v>
      </c>
      <c r="H18" s="7">
        <v>719</v>
      </c>
      <c r="I18" s="7">
        <v>720.45</v>
      </c>
      <c r="J18" s="7">
        <v>11006360</v>
      </c>
      <c r="K18" s="7">
        <v>15200</v>
      </c>
      <c r="L18" s="7">
        <v>1040</v>
      </c>
      <c r="M18" s="7">
        <v>358</v>
      </c>
      <c r="N18" s="8">
        <f t="shared" si="0"/>
        <v>726.76</v>
      </c>
    </row>
    <row r="19" spans="1:14" ht="15.75" customHeight="1">
      <c r="A19" s="6" t="s">
        <v>17</v>
      </c>
      <c r="B19" s="6" t="s">
        <v>18</v>
      </c>
      <c r="C19" s="6" t="s">
        <v>54</v>
      </c>
      <c r="D19" s="6" t="s">
        <v>55</v>
      </c>
      <c r="E19" s="7">
        <v>77.849999999999994</v>
      </c>
      <c r="F19" s="7">
        <v>74.349999999999994</v>
      </c>
      <c r="G19" s="7">
        <v>78.75</v>
      </c>
      <c r="H19" s="7">
        <v>74.099999999999994</v>
      </c>
      <c r="I19" s="7">
        <v>78</v>
      </c>
      <c r="J19" s="7">
        <v>693800</v>
      </c>
      <c r="K19" s="7">
        <v>9000</v>
      </c>
      <c r="L19" s="7">
        <v>133.75</v>
      </c>
      <c r="M19" s="7">
        <v>63</v>
      </c>
      <c r="N19" s="8">
        <f t="shared" si="0"/>
        <v>76.609999999999985</v>
      </c>
    </row>
    <row r="20" spans="1:14" ht="15.75" customHeight="1">
      <c r="A20" s="6" t="s">
        <v>17</v>
      </c>
      <c r="B20" s="6" t="s">
        <v>35</v>
      </c>
      <c r="C20" s="6" t="s">
        <v>56</v>
      </c>
      <c r="D20" s="6" t="s">
        <v>57</v>
      </c>
      <c r="E20" s="7">
        <v>204.85</v>
      </c>
      <c r="F20" s="7">
        <v>203</v>
      </c>
      <c r="G20" s="7">
        <v>205</v>
      </c>
      <c r="H20" s="7">
        <v>200</v>
      </c>
      <c r="I20" s="7">
        <v>204</v>
      </c>
      <c r="J20" s="7">
        <v>4544000</v>
      </c>
      <c r="K20" s="7">
        <v>22400</v>
      </c>
      <c r="L20" s="7">
        <v>299.3</v>
      </c>
      <c r="M20" s="7">
        <v>62</v>
      </c>
      <c r="N20" s="8">
        <f t="shared" si="0"/>
        <v>203.37</v>
      </c>
    </row>
    <row r="21" spans="1:14" ht="15.75" customHeight="1">
      <c r="A21" s="6" t="s">
        <v>17</v>
      </c>
      <c r="B21" s="6" t="s">
        <v>18</v>
      </c>
      <c r="C21" s="6" t="s">
        <v>58</v>
      </c>
      <c r="D21" s="6" t="s">
        <v>59</v>
      </c>
      <c r="E21" s="7">
        <v>81</v>
      </c>
      <c r="F21" s="7">
        <v>73.25</v>
      </c>
      <c r="G21" s="7">
        <v>75</v>
      </c>
      <c r="H21" s="7">
        <v>73.25</v>
      </c>
      <c r="I21" s="7">
        <v>75</v>
      </c>
      <c r="J21" s="7">
        <v>138437.5</v>
      </c>
      <c r="K21" s="7">
        <v>1875</v>
      </c>
      <c r="L21" s="7">
        <v>208.5</v>
      </c>
      <c r="M21" s="7">
        <v>73.25</v>
      </c>
      <c r="N21" s="8">
        <f t="shared" si="0"/>
        <v>75.5</v>
      </c>
    </row>
    <row r="22" spans="1:14" ht="15.75" customHeight="1">
      <c r="A22" s="6" t="s">
        <v>17</v>
      </c>
      <c r="B22" s="6" t="s">
        <v>18</v>
      </c>
      <c r="C22" s="6" t="s">
        <v>60</v>
      </c>
      <c r="D22" s="6" t="s">
        <v>61</v>
      </c>
      <c r="E22" s="7">
        <v>194</v>
      </c>
      <c r="F22" s="7">
        <v>194</v>
      </c>
      <c r="G22" s="7">
        <v>197.65</v>
      </c>
      <c r="H22" s="7">
        <v>188</v>
      </c>
      <c r="I22" s="7">
        <v>190.3</v>
      </c>
      <c r="J22" s="7">
        <v>5583140</v>
      </c>
      <c r="K22" s="7">
        <v>29200</v>
      </c>
      <c r="L22" s="7">
        <v>504.75</v>
      </c>
      <c r="M22" s="7">
        <v>188</v>
      </c>
      <c r="N22" s="8">
        <f t="shared" si="0"/>
        <v>192.79000000000002</v>
      </c>
    </row>
    <row r="23" spans="1:14" ht="15">
      <c r="A23" s="6" t="s">
        <v>17</v>
      </c>
      <c r="B23" s="6" t="s">
        <v>18</v>
      </c>
      <c r="C23" s="6" t="s">
        <v>62</v>
      </c>
      <c r="D23" s="6" t="s">
        <v>63</v>
      </c>
      <c r="E23" s="7">
        <v>786.9</v>
      </c>
      <c r="F23" s="7">
        <v>801</v>
      </c>
      <c r="G23" s="7">
        <v>801</v>
      </c>
      <c r="H23" s="7">
        <v>743</v>
      </c>
      <c r="I23" s="7">
        <v>765.7</v>
      </c>
      <c r="J23" s="7">
        <v>31858635</v>
      </c>
      <c r="K23" s="7">
        <v>41500</v>
      </c>
      <c r="L23" s="7">
        <v>1449.7</v>
      </c>
      <c r="M23" s="7">
        <v>495</v>
      </c>
      <c r="N23" s="8">
        <f t="shared" si="0"/>
        <v>779.52</v>
      </c>
    </row>
    <row r="24" spans="1:14" ht="15">
      <c r="A24" s="6" t="s">
        <v>17</v>
      </c>
      <c r="B24" s="6" t="s">
        <v>18</v>
      </c>
      <c r="C24" s="6" t="s">
        <v>64</v>
      </c>
      <c r="D24" s="6" t="s">
        <v>65</v>
      </c>
      <c r="E24" s="7">
        <v>32.799999999999997</v>
      </c>
      <c r="F24" s="7">
        <v>31.05</v>
      </c>
      <c r="G24" s="7">
        <v>32</v>
      </c>
      <c r="H24" s="7">
        <v>31.05</v>
      </c>
      <c r="I24" s="7">
        <v>32</v>
      </c>
      <c r="J24" s="7">
        <v>126100</v>
      </c>
      <c r="K24" s="7">
        <v>4000</v>
      </c>
      <c r="L24" s="7">
        <v>60</v>
      </c>
      <c r="M24" s="7">
        <v>28.85</v>
      </c>
      <c r="N24" s="8">
        <f t="shared" si="0"/>
        <v>31.779999999999994</v>
      </c>
    </row>
    <row r="25" spans="1:14" ht="15">
      <c r="A25" s="6" t="s">
        <v>17</v>
      </c>
      <c r="B25" s="6" t="s">
        <v>18</v>
      </c>
      <c r="C25" s="6" t="s">
        <v>66</v>
      </c>
      <c r="D25" s="6" t="s">
        <v>67</v>
      </c>
      <c r="E25" s="7">
        <v>95.6</v>
      </c>
      <c r="F25" s="7">
        <v>95.6</v>
      </c>
      <c r="G25" s="7">
        <v>95.6</v>
      </c>
      <c r="H25" s="7">
        <v>95.6</v>
      </c>
      <c r="I25" s="7">
        <v>95.6</v>
      </c>
      <c r="J25" s="7">
        <v>191200</v>
      </c>
      <c r="K25" s="7">
        <v>2000</v>
      </c>
      <c r="L25" s="7">
        <v>127.25</v>
      </c>
      <c r="M25" s="7">
        <v>86.4</v>
      </c>
      <c r="N25" s="8">
        <f t="shared" si="0"/>
        <v>95.6</v>
      </c>
    </row>
    <row r="26" spans="1:14" ht="15">
      <c r="A26" s="6" t="s">
        <v>17</v>
      </c>
      <c r="B26" s="6" t="s">
        <v>35</v>
      </c>
      <c r="C26" s="6" t="s">
        <v>68</v>
      </c>
      <c r="D26" s="6" t="s">
        <v>69</v>
      </c>
      <c r="E26" s="7">
        <v>306</v>
      </c>
      <c r="F26" s="7">
        <v>301.85000000000002</v>
      </c>
      <c r="G26" s="7">
        <v>310</v>
      </c>
      <c r="H26" s="7">
        <v>301.85000000000002</v>
      </c>
      <c r="I26" s="7">
        <v>309.55</v>
      </c>
      <c r="J26" s="7">
        <v>3195160</v>
      </c>
      <c r="K26" s="7">
        <v>10400</v>
      </c>
      <c r="L26" s="7">
        <v>385</v>
      </c>
      <c r="M26" s="7">
        <v>161.69999999999999</v>
      </c>
      <c r="N26" s="8">
        <f t="shared" si="0"/>
        <v>305.85000000000002</v>
      </c>
    </row>
    <row r="27" spans="1:14" ht="15">
      <c r="A27" s="6" t="s">
        <v>17</v>
      </c>
      <c r="B27" s="6" t="s">
        <v>18</v>
      </c>
      <c r="C27" s="6" t="s">
        <v>70</v>
      </c>
      <c r="D27" s="6" t="s">
        <v>71</v>
      </c>
      <c r="E27" s="7">
        <v>83.1</v>
      </c>
      <c r="F27" s="7">
        <v>79</v>
      </c>
      <c r="G27" s="7">
        <v>79</v>
      </c>
      <c r="H27" s="7">
        <v>79</v>
      </c>
      <c r="I27" s="7">
        <v>79</v>
      </c>
      <c r="J27" s="7">
        <v>94800</v>
      </c>
      <c r="K27" s="7">
        <v>1200</v>
      </c>
      <c r="L27" s="7">
        <v>164.85</v>
      </c>
      <c r="M27" s="7">
        <v>77</v>
      </c>
      <c r="N27" s="8">
        <f t="shared" si="0"/>
        <v>79.820000000000007</v>
      </c>
    </row>
    <row r="28" spans="1:14" ht="15">
      <c r="A28" s="6" t="s">
        <v>17</v>
      </c>
      <c r="B28" s="6" t="s">
        <v>18</v>
      </c>
      <c r="C28" s="6" t="s">
        <v>72</v>
      </c>
      <c r="D28" s="6" t="s">
        <v>73</v>
      </c>
      <c r="E28" s="7">
        <v>380.85</v>
      </c>
      <c r="F28" s="7">
        <v>368.25</v>
      </c>
      <c r="G28" s="7">
        <v>380</v>
      </c>
      <c r="H28" s="7">
        <v>365.25</v>
      </c>
      <c r="I28" s="7">
        <v>374</v>
      </c>
      <c r="J28" s="7">
        <v>2684300</v>
      </c>
      <c r="K28" s="7">
        <v>7200</v>
      </c>
      <c r="L28" s="7">
        <v>497</v>
      </c>
      <c r="M28" s="7">
        <v>239</v>
      </c>
      <c r="N28" s="8">
        <f t="shared" si="0"/>
        <v>373.66999999999996</v>
      </c>
    </row>
    <row r="29" spans="1:14" ht="15">
      <c r="A29" s="6" t="s">
        <v>17</v>
      </c>
      <c r="B29" s="6" t="s">
        <v>18</v>
      </c>
      <c r="C29" s="6" t="s">
        <v>74</v>
      </c>
      <c r="D29" s="6" t="s">
        <v>75</v>
      </c>
      <c r="E29" s="7">
        <v>185.05</v>
      </c>
      <c r="F29" s="7">
        <v>185.05</v>
      </c>
      <c r="G29" s="7">
        <v>203</v>
      </c>
      <c r="H29" s="7">
        <v>180</v>
      </c>
      <c r="I29" s="7">
        <v>198.5</v>
      </c>
      <c r="J29" s="9">
        <v>118000000</v>
      </c>
      <c r="K29" s="7">
        <v>593750</v>
      </c>
      <c r="L29" s="7">
        <v>371</v>
      </c>
      <c r="M29" s="7">
        <v>180</v>
      </c>
      <c r="N29" s="8">
        <f t="shared" si="0"/>
        <v>190.32</v>
      </c>
    </row>
    <row r="30" spans="1:14" ht="15">
      <c r="A30" s="6" t="s">
        <v>17</v>
      </c>
      <c r="B30" s="6" t="s">
        <v>18</v>
      </c>
      <c r="C30" s="6" t="s">
        <v>76</v>
      </c>
      <c r="D30" s="6" t="s">
        <v>77</v>
      </c>
      <c r="E30" s="7">
        <v>21.9</v>
      </c>
      <c r="F30" s="7">
        <v>21.15</v>
      </c>
      <c r="G30" s="7">
        <v>21.15</v>
      </c>
      <c r="H30" s="7">
        <v>21</v>
      </c>
      <c r="I30" s="7">
        <v>21</v>
      </c>
      <c r="J30" s="7">
        <v>2745250</v>
      </c>
      <c r="K30" s="7">
        <v>130000</v>
      </c>
      <c r="L30" s="7">
        <v>29.05</v>
      </c>
      <c r="M30" s="7">
        <v>19.45</v>
      </c>
      <c r="N30" s="8">
        <f t="shared" si="0"/>
        <v>21.24</v>
      </c>
    </row>
    <row r="31" spans="1:14" ht="15">
      <c r="A31" s="6" t="s">
        <v>17</v>
      </c>
      <c r="B31" s="6" t="s">
        <v>18</v>
      </c>
      <c r="C31" s="6" t="s">
        <v>78</v>
      </c>
      <c r="D31" s="6" t="s">
        <v>79</v>
      </c>
      <c r="E31" s="7">
        <v>121.45</v>
      </c>
      <c r="F31" s="7">
        <v>120</v>
      </c>
      <c r="G31" s="7">
        <v>120</v>
      </c>
      <c r="H31" s="7">
        <v>120</v>
      </c>
      <c r="I31" s="7">
        <v>120</v>
      </c>
      <c r="J31" s="7">
        <v>192000</v>
      </c>
      <c r="K31" s="7">
        <v>1600</v>
      </c>
      <c r="L31" s="7">
        <v>165.6</v>
      </c>
      <c r="M31" s="7">
        <v>73</v>
      </c>
      <c r="N31" s="8">
        <f t="shared" si="0"/>
        <v>120.29</v>
      </c>
    </row>
    <row r="32" spans="1:14" ht="15">
      <c r="A32" s="6" t="s">
        <v>17</v>
      </c>
      <c r="B32" s="6" t="s">
        <v>18</v>
      </c>
      <c r="C32" s="6" t="s">
        <v>80</v>
      </c>
      <c r="D32" s="6" t="s">
        <v>81</v>
      </c>
      <c r="E32" s="7">
        <v>274.8</v>
      </c>
      <c r="F32" s="7">
        <v>260.05</v>
      </c>
      <c r="G32" s="7">
        <v>261</v>
      </c>
      <c r="H32" s="7">
        <v>259.05</v>
      </c>
      <c r="I32" s="7">
        <v>260.75</v>
      </c>
      <c r="J32" s="7">
        <v>1040800</v>
      </c>
      <c r="K32" s="7">
        <v>4000</v>
      </c>
      <c r="L32" s="7">
        <v>360</v>
      </c>
      <c r="M32" s="7">
        <v>86.5</v>
      </c>
      <c r="N32" s="8">
        <f t="shared" si="0"/>
        <v>263.13</v>
      </c>
    </row>
    <row r="33" spans="1:14" ht="15">
      <c r="A33" s="6" t="s">
        <v>17</v>
      </c>
      <c r="B33" s="6" t="s">
        <v>18</v>
      </c>
      <c r="C33" s="6" t="s">
        <v>82</v>
      </c>
      <c r="D33" s="6" t="s">
        <v>83</v>
      </c>
      <c r="E33" s="7">
        <v>57.2</v>
      </c>
      <c r="F33" s="7">
        <v>56.35</v>
      </c>
      <c r="G33" s="7">
        <v>56.35</v>
      </c>
      <c r="H33" s="7">
        <v>56</v>
      </c>
      <c r="I33" s="7">
        <v>56</v>
      </c>
      <c r="J33" s="7">
        <v>336650</v>
      </c>
      <c r="K33" s="7">
        <v>6000</v>
      </c>
      <c r="L33" s="7">
        <v>145</v>
      </c>
      <c r="M33" s="7">
        <v>56</v>
      </c>
      <c r="N33" s="8">
        <f t="shared" si="0"/>
        <v>56.379999999999995</v>
      </c>
    </row>
    <row r="34" spans="1:14" ht="15">
      <c r="A34" s="6" t="s">
        <v>17</v>
      </c>
      <c r="B34" s="6" t="s">
        <v>35</v>
      </c>
      <c r="C34" s="6" t="s">
        <v>84</v>
      </c>
      <c r="D34" s="6" t="s">
        <v>85</v>
      </c>
      <c r="E34" s="7">
        <v>137</v>
      </c>
      <c r="F34" s="7">
        <v>132.1</v>
      </c>
      <c r="G34" s="7">
        <v>141.9</v>
      </c>
      <c r="H34" s="7">
        <v>131.05000000000001</v>
      </c>
      <c r="I34" s="7">
        <v>141</v>
      </c>
      <c r="J34" s="7">
        <v>2744350</v>
      </c>
      <c r="K34" s="7">
        <v>20000</v>
      </c>
      <c r="L34" s="7">
        <v>161</v>
      </c>
      <c r="M34" s="7">
        <v>70.8</v>
      </c>
      <c r="N34" s="8">
        <f t="shared" si="0"/>
        <v>136.60999999999999</v>
      </c>
    </row>
    <row r="35" spans="1:14" ht="15">
      <c r="A35" s="6" t="s">
        <v>17</v>
      </c>
      <c r="B35" s="6" t="s">
        <v>18</v>
      </c>
      <c r="C35" s="6" t="s">
        <v>86</v>
      </c>
      <c r="D35" s="6" t="s">
        <v>87</v>
      </c>
      <c r="E35" s="7">
        <v>450</v>
      </c>
      <c r="F35" s="7">
        <v>440</v>
      </c>
      <c r="G35" s="7">
        <v>440</v>
      </c>
      <c r="H35" s="7">
        <v>415</v>
      </c>
      <c r="I35" s="7">
        <v>435</v>
      </c>
      <c r="J35" s="7">
        <v>516000</v>
      </c>
      <c r="K35" s="7">
        <v>1200</v>
      </c>
      <c r="L35" s="7">
        <v>540</v>
      </c>
      <c r="M35" s="7">
        <v>200</v>
      </c>
      <c r="N35" s="8">
        <f t="shared" si="0"/>
        <v>436</v>
      </c>
    </row>
    <row r="36" spans="1:14" ht="15">
      <c r="A36" s="6" t="s">
        <v>17</v>
      </c>
      <c r="B36" s="6" t="s">
        <v>35</v>
      </c>
      <c r="C36" s="6" t="s">
        <v>88</v>
      </c>
      <c r="D36" s="6" t="s">
        <v>89</v>
      </c>
      <c r="E36" s="7">
        <v>37.200000000000003</v>
      </c>
      <c r="F36" s="7">
        <v>35.35</v>
      </c>
      <c r="G36" s="7">
        <v>35.35</v>
      </c>
      <c r="H36" s="7">
        <v>35.35</v>
      </c>
      <c r="I36" s="7">
        <v>35.35</v>
      </c>
      <c r="J36" s="7">
        <v>141400</v>
      </c>
      <c r="K36" s="7">
        <v>4000</v>
      </c>
      <c r="L36" s="7">
        <v>45.6</v>
      </c>
      <c r="M36" s="7">
        <v>35.35</v>
      </c>
      <c r="N36" s="8">
        <f t="shared" si="0"/>
        <v>35.720000000000006</v>
      </c>
    </row>
    <row r="37" spans="1:14" ht="15">
      <c r="A37" s="6" t="s">
        <v>17</v>
      </c>
      <c r="B37" s="6" t="s">
        <v>18</v>
      </c>
      <c r="C37" s="6" t="s">
        <v>90</v>
      </c>
      <c r="D37" s="6" t="s">
        <v>91</v>
      </c>
      <c r="E37" s="7">
        <v>17.75</v>
      </c>
      <c r="F37" s="7">
        <v>17.5</v>
      </c>
      <c r="G37" s="7">
        <v>17.5</v>
      </c>
      <c r="H37" s="7">
        <v>16.95</v>
      </c>
      <c r="I37" s="7">
        <v>17.350000000000001</v>
      </c>
      <c r="J37" s="7">
        <v>344500</v>
      </c>
      <c r="K37" s="7">
        <v>20000</v>
      </c>
      <c r="L37" s="7">
        <v>46.5</v>
      </c>
      <c r="M37" s="7">
        <v>16.95</v>
      </c>
      <c r="N37" s="8">
        <f t="shared" si="0"/>
        <v>17.410000000000004</v>
      </c>
    </row>
    <row r="38" spans="1:14" ht="15">
      <c r="A38" s="6" t="s">
        <v>17</v>
      </c>
      <c r="B38" s="6" t="s">
        <v>18</v>
      </c>
      <c r="C38" s="6" t="s">
        <v>92</v>
      </c>
      <c r="D38" s="6" t="s">
        <v>93</v>
      </c>
      <c r="E38" s="7">
        <v>30.45</v>
      </c>
      <c r="F38" s="7">
        <v>29.1</v>
      </c>
      <c r="G38" s="7">
        <v>29.85</v>
      </c>
      <c r="H38" s="7">
        <v>28.95</v>
      </c>
      <c r="I38" s="7">
        <v>29.05</v>
      </c>
      <c r="J38" s="7">
        <v>1785450</v>
      </c>
      <c r="K38" s="7">
        <v>61500</v>
      </c>
      <c r="L38" s="7">
        <v>87.4</v>
      </c>
      <c r="M38" s="7">
        <v>28.95</v>
      </c>
      <c r="N38" s="8">
        <f t="shared" si="0"/>
        <v>29.48</v>
      </c>
    </row>
    <row r="39" spans="1:14" ht="15">
      <c r="A39" s="6" t="s">
        <v>17</v>
      </c>
      <c r="B39" s="6" t="s">
        <v>35</v>
      </c>
      <c r="C39" s="6" t="s">
        <v>94</v>
      </c>
      <c r="D39" s="6" t="s">
        <v>95</v>
      </c>
      <c r="E39" s="7">
        <v>151.5</v>
      </c>
      <c r="F39" s="7">
        <v>150</v>
      </c>
      <c r="G39" s="7">
        <v>150</v>
      </c>
      <c r="H39" s="7">
        <v>150</v>
      </c>
      <c r="I39" s="7">
        <v>150</v>
      </c>
      <c r="J39" s="7">
        <v>75000</v>
      </c>
      <c r="K39" s="7">
        <v>500</v>
      </c>
      <c r="L39" s="7">
        <v>154</v>
      </c>
      <c r="M39" s="7">
        <v>76.55</v>
      </c>
      <c r="N39" s="8">
        <f t="shared" si="0"/>
        <v>150.30000000000001</v>
      </c>
    </row>
    <row r="40" spans="1:14" ht="15">
      <c r="A40" s="6" t="s">
        <v>17</v>
      </c>
      <c r="B40" s="6" t="s">
        <v>18</v>
      </c>
      <c r="C40" s="6" t="s">
        <v>96</v>
      </c>
      <c r="D40" s="6" t="s">
        <v>97</v>
      </c>
      <c r="E40" s="7">
        <v>68</v>
      </c>
      <c r="F40" s="7">
        <v>67.95</v>
      </c>
      <c r="G40" s="7">
        <v>68</v>
      </c>
      <c r="H40" s="7">
        <v>63.2</v>
      </c>
      <c r="I40" s="7">
        <v>65.25</v>
      </c>
      <c r="J40" s="7">
        <v>1570400</v>
      </c>
      <c r="K40" s="7">
        <v>24000</v>
      </c>
      <c r="L40" s="7">
        <v>93.7</v>
      </c>
      <c r="M40" s="7">
        <v>60</v>
      </c>
      <c r="N40" s="8">
        <f t="shared" si="0"/>
        <v>66.47999999999999</v>
      </c>
    </row>
    <row r="41" spans="1:14" ht="15">
      <c r="A41" s="6" t="s">
        <v>17</v>
      </c>
      <c r="B41" s="6" t="s">
        <v>18</v>
      </c>
      <c r="C41" s="6" t="s">
        <v>98</v>
      </c>
      <c r="D41" s="6" t="s">
        <v>99</v>
      </c>
      <c r="E41" s="7">
        <v>140.9</v>
      </c>
      <c r="F41" s="7">
        <v>138</v>
      </c>
      <c r="G41" s="7">
        <v>140.5</v>
      </c>
      <c r="H41" s="7">
        <v>130</v>
      </c>
      <c r="I41" s="7">
        <v>132.15</v>
      </c>
      <c r="J41" s="7">
        <v>14135650</v>
      </c>
      <c r="K41" s="7">
        <v>106000</v>
      </c>
      <c r="L41" s="7">
        <v>167.8</v>
      </c>
      <c r="M41" s="7">
        <v>127.9</v>
      </c>
      <c r="N41" s="8">
        <f t="shared" si="0"/>
        <v>136.31</v>
      </c>
    </row>
    <row r="42" spans="1:14" ht="15">
      <c r="A42" s="6" t="s">
        <v>17</v>
      </c>
      <c r="B42" s="6" t="s">
        <v>18</v>
      </c>
      <c r="C42" s="6" t="s">
        <v>100</v>
      </c>
      <c r="D42" s="6" t="s">
        <v>101</v>
      </c>
      <c r="E42" s="7">
        <v>16.899999999999999</v>
      </c>
      <c r="F42" s="7">
        <v>16.5</v>
      </c>
      <c r="G42" s="7">
        <v>16.5</v>
      </c>
      <c r="H42" s="7">
        <v>16.5</v>
      </c>
      <c r="I42" s="7">
        <v>16.5</v>
      </c>
      <c r="J42" s="7">
        <v>165000</v>
      </c>
      <c r="K42" s="7">
        <v>10000</v>
      </c>
      <c r="L42" s="7">
        <v>40</v>
      </c>
      <c r="M42" s="7">
        <v>15.3</v>
      </c>
      <c r="N42" s="8">
        <f t="shared" si="0"/>
        <v>16.580000000000002</v>
      </c>
    </row>
    <row r="43" spans="1:14" ht="15">
      <c r="A43" s="6" t="s">
        <v>17</v>
      </c>
      <c r="B43" s="6" t="s">
        <v>18</v>
      </c>
      <c r="C43" s="6" t="s">
        <v>102</v>
      </c>
      <c r="D43" s="6" t="s">
        <v>103</v>
      </c>
      <c r="E43" s="7">
        <v>31.3</v>
      </c>
      <c r="F43" s="7">
        <v>29.1</v>
      </c>
      <c r="G43" s="7">
        <v>30.8</v>
      </c>
      <c r="H43" s="7">
        <v>29</v>
      </c>
      <c r="I43" s="7">
        <v>29.9</v>
      </c>
      <c r="J43" s="7">
        <v>2801700</v>
      </c>
      <c r="K43" s="7">
        <v>94800</v>
      </c>
      <c r="L43" s="7">
        <v>115.35</v>
      </c>
      <c r="M43" s="7">
        <v>29</v>
      </c>
      <c r="N43" s="8">
        <f t="shared" si="0"/>
        <v>30.020000000000003</v>
      </c>
    </row>
    <row r="44" spans="1:14" ht="15">
      <c r="A44" s="6" t="s">
        <v>17</v>
      </c>
      <c r="B44" s="6" t="s">
        <v>18</v>
      </c>
      <c r="C44" s="6" t="s">
        <v>104</v>
      </c>
      <c r="D44" s="6" t="s">
        <v>105</v>
      </c>
      <c r="E44" s="7">
        <v>146.25</v>
      </c>
      <c r="F44" s="7">
        <v>146</v>
      </c>
      <c r="G44" s="7">
        <v>146</v>
      </c>
      <c r="H44" s="7">
        <v>142.05000000000001</v>
      </c>
      <c r="I44" s="7">
        <v>142.6</v>
      </c>
      <c r="J44" s="7">
        <v>1952920</v>
      </c>
      <c r="K44" s="7">
        <v>13600</v>
      </c>
      <c r="L44" s="7">
        <v>294</v>
      </c>
      <c r="M44" s="7">
        <v>109</v>
      </c>
      <c r="N44" s="8">
        <f t="shared" si="0"/>
        <v>144.57999999999998</v>
      </c>
    </row>
    <row r="45" spans="1:14" ht="15">
      <c r="A45" s="6" t="s">
        <v>17</v>
      </c>
      <c r="B45" s="6" t="s">
        <v>18</v>
      </c>
      <c r="C45" s="6" t="s">
        <v>106</v>
      </c>
      <c r="D45" s="6" t="s">
        <v>107</v>
      </c>
      <c r="E45" s="7">
        <v>35.200000000000003</v>
      </c>
      <c r="F45" s="7">
        <v>32.799999999999997</v>
      </c>
      <c r="G45" s="7">
        <v>36.799999999999997</v>
      </c>
      <c r="H45" s="7">
        <v>32.799999999999997</v>
      </c>
      <c r="I45" s="7">
        <v>36.799999999999997</v>
      </c>
      <c r="J45" s="7">
        <v>163920</v>
      </c>
      <c r="K45" s="7">
        <v>4800</v>
      </c>
      <c r="L45" s="7">
        <v>73</v>
      </c>
      <c r="M45" s="7">
        <v>32</v>
      </c>
      <c r="N45" s="8">
        <f t="shared" si="0"/>
        <v>34.879999999999995</v>
      </c>
    </row>
    <row r="46" spans="1:14" ht="15">
      <c r="A46" s="6" t="s">
        <v>17</v>
      </c>
      <c r="B46" s="6" t="s">
        <v>18</v>
      </c>
      <c r="C46" s="6" t="s">
        <v>108</v>
      </c>
      <c r="D46" s="6" t="s">
        <v>109</v>
      </c>
      <c r="E46" s="7">
        <v>318.3</v>
      </c>
      <c r="F46" s="7">
        <v>312.05</v>
      </c>
      <c r="G46" s="7">
        <v>315</v>
      </c>
      <c r="H46" s="7">
        <v>304.8</v>
      </c>
      <c r="I46" s="7">
        <v>309.85000000000002</v>
      </c>
      <c r="J46" s="7">
        <v>10297763</v>
      </c>
      <c r="K46" s="7">
        <v>33250</v>
      </c>
      <c r="L46" s="7">
        <v>654</v>
      </c>
      <c r="M46" s="7">
        <v>293</v>
      </c>
      <c r="N46" s="8">
        <f t="shared" si="0"/>
        <v>311.99999999999994</v>
      </c>
    </row>
    <row r="47" spans="1:14" ht="15">
      <c r="A47" s="6" t="s">
        <v>17</v>
      </c>
      <c r="B47" s="6" t="s">
        <v>35</v>
      </c>
      <c r="C47" s="6" t="s">
        <v>110</v>
      </c>
      <c r="D47" s="6" t="s">
        <v>111</v>
      </c>
      <c r="E47" s="7">
        <v>71.900000000000006</v>
      </c>
      <c r="F47" s="7">
        <v>73.95</v>
      </c>
      <c r="G47" s="7">
        <v>73.95</v>
      </c>
      <c r="H47" s="7">
        <v>68.349999999999994</v>
      </c>
      <c r="I47" s="7">
        <v>71.55</v>
      </c>
      <c r="J47" s="7">
        <v>12808900</v>
      </c>
      <c r="K47" s="7">
        <v>180000</v>
      </c>
      <c r="L47" s="7">
        <v>83.6</v>
      </c>
      <c r="M47" s="7">
        <v>65.099999999999994</v>
      </c>
      <c r="N47" s="8">
        <f t="shared" si="0"/>
        <v>71.940000000000012</v>
      </c>
    </row>
    <row r="48" spans="1:14" ht="15">
      <c r="A48" s="6" t="s">
        <v>17</v>
      </c>
      <c r="B48" s="6" t="s">
        <v>18</v>
      </c>
      <c r="C48" s="6" t="s">
        <v>112</v>
      </c>
      <c r="D48" s="6" t="s">
        <v>113</v>
      </c>
      <c r="E48" s="7">
        <v>113.95</v>
      </c>
      <c r="F48" s="7">
        <v>115</v>
      </c>
      <c r="G48" s="7">
        <v>115</v>
      </c>
      <c r="H48" s="7">
        <v>113</v>
      </c>
      <c r="I48" s="7">
        <v>113</v>
      </c>
      <c r="J48" s="7">
        <v>228000</v>
      </c>
      <c r="K48" s="7">
        <v>2000</v>
      </c>
      <c r="L48" s="7">
        <v>123.5</v>
      </c>
      <c r="M48" s="7">
        <v>93.8</v>
      </c>
      <c r="N48" s="8">
        <f t="shared" si="0"/>
        <v>113.99000000000001</v>
      </c>
    </row>
    <row r="49" spans="1:14" ht="15">
      <c r="A49" s="6" t="s">
        <v>17</v>
      </c>
      <c r="B49" s="6" t="s">
        <v>18</v>
      </c>
      <c r="C49" s="6" t="s">
        <v>114</v>
      </c>
      <c r="D49" s="6" t="s">
        <v>115</v>
      </c>
      <c r="E49" s="7">
        <v>90.4</v>
      </c>
      <c r="F49" s="7">
        <v>91.5</v>
      </c>
      <c r="G49" s="7">
        <v>93.35</v>
      </c>
      <c r="H49" s="7">
        <v>90.2</v>
      </c>
      <c r="I49" s="7">
        <v>91.2</v>
      </c>
      <c r="J49" s="7">
        <v>5607440</v>
      </c>
      <c r="K49" s="7">
        <v>61600</v>
      </c>
      <c r="L49" s="7">
        <v>223.45</v>
      </c>
      <c r="M49" s="7">
        <v>88.2</v>
      </c>
      <c r="N49" s="8">
        <f t="shared" si="0"/>
        <v>91.33</v>
      </c>
    </row>
    <row r="50" spans="1:14" ht="15">
      <c r="A50" s="6" t="s">
        <v>17</v>
      </c>
      <c r="B50" s="6" t="s">
        <v>18</v>
      </c>
      <c r="C50" s="6" t="s">
        <v>116</v>
      </c>
      <c r="D50" s="6" t="s">
        <v>117</v>
      </c>
      <c r="E50" s="7">
        <v>118.9</v>
      </c>
      <c r="F50" s="7">
        <v>116.05</v>
      </c>
      <c r="G50" s="7">
        <v>117.85</v>
      </c>
      <c r="H50" s="7">
        <v>114.95</v>
      </c>
      <c r="I50" s="7">
        <v>114.95</v>
      </c>
      <c r="J50" s="7">
        <v>13678400</v>
      </c>
      <c r="K50" s="7">
        <v>118400</v>
      </c>
      <c r="L50" s="7">
        <v>139</v>
      </c>
      <c r="M50" s="7">
        <v>95.75</v>
      </c>
      <c r="N50" s="8">
        <f t="shared" si="0"/>
        <v>116.53999999999999</v>
      </c>
    </row>
    <row r="51" spans="1:14" ht="15">
      <c r="A51" s="6" t="s">
        <v>17</v>
      </c>
      <c r="B51" s="6" t="s">
        <v>18</v>
      </c>
      <c r="C51" s="6" t="s">
        <v>118</v>
      </c>
      <c r="D51" s="6" t="s">
        <v>119</v>
      </c>
      <c r="E51" s="7">
        <v>28.55</v>
      </c>
      <c r="F51" s="7">
        <v>28.55</v>
      </c>
      <c r="G51" s="7">
        <v>28.55</v>
      </c>
      <c r="H51" s="7">
        <v>28.55</v>
      </c>
      <c r="I51" s="7">
        <v>28.55</v>
      </c>
      <c r="J51" s="7">
        <v>45680</v>
      </c>
      <c r="K51" s="7">
        <v>1600</v>
      </c>
      <c r="L51" s="7">
        <v>56.5</v>
      </c>
      <c r="M51" s="7">
        <v>25.6</v>
      </c>
      <c r="N51" s="8">
        <f t="shared" si="0"/>
        <v>28.55</v>
      </c>
    </row>
    <row r="52" spans="1:14" ht="15">
      <c r="A52" s="6" t="s">
        <v>17</v>
      </c>
      <c r="B52" s="6" t="s">
        <v>18</v>
      </c>
      <c r="C52" s="6" t="s">
        <v>120</v>
      </c>
      <c r="D52" s="6" t="s">
        <v>121</v>
      </c>
      <c r="E52" s="7">
        <v>618.29999999999995</v>
      </c>
      <c r="F52" s="7">
        <v>621.35</v>
      </c>
      <c r="G52" s="7">
        <v>621.5</v>
      </c>
      <c r="H52" s="7">
        <v>601.04999999999995</v>
      </c>
      <c r="I52" s="7">
        <v>619.4</v>
      </c>
      <c r="J52" s="7">
        <v>16579369</v>
      </c>
      <c r="K52" s="7">
        <v>27000</v>
      </c>
      <c r="L52" s="7">
        <v>649.9</v>
      </c>
      <c r="M52" s="7">
        <v>328.1</v>
      </c>
      <c r="N52" s="8">
        <f t="shared" si="0"/>
        <v>616.31999999999994</v>
      </c>
    </row>
    <row r="53" spans="1:14" ht="15">
      <c r="A53" s="6" t="s">
        <v>17</v>
      </c>
      <c r="B53" s="6" t="s">
        <v>18</v>
      </c>
      <c r="C53" s="6" t="s">
        <v>122</v>
      </c>
      <c r="D53" s="6" t="s">
        <v>123</v>
      </c>
      <c r="E53" s="7">
        <v>142.25</v>
      </c>
      <c r="F53" s="7">
        <v>142</v>
      </c>
      <c r="G53" s="7">
        <v>142</v>
      </c>
      <c r="H53" s="7">
        <v>135</v>
      </c>
      <c r="I53" s="7">
        <v>140.80000000000001</v>
      </c>
      <c r="J53" s="7">
        <v>1395300</v>
      </c>
      <c r="K53" s="7">
        <v>10000</v>
      </c>
      <c r="L53" s="7">
        <v>184.7</v>
      </c>
      <c r="M53" s="7">
        <v>72.599999999999994</v>
      </c>
      <c r="N53" s="8">
        <f t="shared" si="0"/>
        <v>140.41</v>
      </c>
    </row>
    <row r="54" spans="1:14" ht="15">
      <c r="A54" s="6" t="s">
        <v>17</v>
      </c>
      <c r="B54" s="6" t="s">
        <v>18</v>
      </c>
      <c r="C54" s="6" t="s">
        <v>124</v>
      </c>
      <c r="D54" s="6" t="s">
        <v>125</v>
      </c>
      <c r="E54" s="7">
        <v>64.150000000000006</v>
      </c>
      <c r="F54" s="7">
        <v>64.95</v>
      </c>
      <c r="G54" s="7">
        <v>64.95</v>
      </c>
      <c r="H54" s="7">
        <v>64.45</v>
      </c>
      <c r="I54" s="7">
        <v>64.45</v>
      </c>
      <c r="J54" s="7">
        <v>516600</v>
      </c>
      <c r="K54" s="7">
        <v>8000</v>
      </c>
      <c r="L54" s="7">
        <v>82.4</v>
      </c>
      <c r="M54" s="7">
        <v>41.15</v>
      </c>
      <c r="N54" s="8">
        <f t="shared" si="0"/>
        <v>64.59</v>
      </c>
    </row>
    <row r="55" spans="1:14" ht="15">
      <c r="A55" s="6" t="s">
        <v>17</v>
      </c>
      <c r="B55" s="6" t="s">
        <v>18</v>
      </c>
      <c r="C55" s="6" t="s">
        <v>126</v>
      </c>
      <c r="D55" s="6" t="s">
        <v>127</v>
      </c>
      <c r="E55" s="7">
        <v>268.35000000000002</v>
      </c>
      <c r="F55" s="7">
        <v>267.05</v>
      </c>
      <c r="G55" s="7">
        <v>267.05</v>
      </c>
      <c r="H55" s="7">
        <v>258.10000000000002</v>
      </c>
      <c r="I55" s="7">
        <v>263.64999999999998</v>
      </c>
      <c r="J55" s="7">
        <v>4268175</v>
      </c>
      <c r="K55" s="7">
        <v>16200</v>
      </c>
      <c r="L55" s="7">
        <v>509.8</v>
      </c>
      <c r="M55" s="7">
        <v>223.15</v>
      </c>
      <c r="N55" s="8">
        <f t="shared" si="0"/>
        <v>264.83999999999997</v>
      </c>
    </row>
    <row r="56" spans="1:14" ht="15">
      <c r="A56" s="6" t="s">
        <v>17</v>
      </c>
      <c r="B56" s="6" t="s">
        <v>18</v>
      </c>
      <c r="C56" s="6" t="s">
        <v>128</v>
      </c>
      <c r="D56" s="6" t="s">
        <v>129</v>
      </c>
      <c r="E56" s="7">
        <v>29.2</v>
      </c>
      <c r="F56" s="7">
        <v>28.6</v>
      </c>
      <c r="G56" s="7">
        <v>29.85</v>
      </c>
      <c r="H56" s="7">
        <v>28.2</v>
      </c>
      <c r="I56" s="7">
        <v>29.7</v>
      </c>
      <c r="J56" s="7">
        <v>139880</v>
      </c>
      <c r="K56" s="7">
        <v>4800</v>
      </c>
      <c r="L56" s="7">
        <v>79</v>
      </c>
      <c r="M56" s="7">
        <v>27.35</v>
      </c>
      <c r="N56" s="8">
        <f t="shared" si="0"/>
        <v>29.110000000000003</v>
      </c>
    </row>
    <row r="57" spans="1:14" ht="15">
      <c r="A57" s="6" t="s">
        <v>17</v>
      </c>
      <c r="B57" s="6" t="s">
        <v>35</v>
      </c>
      <c r="C57" s="6" t="s">
        <v>130</v>
      </c>
      <c r="D57" s="6" t="s">
        <v>131</v>
      </c>
      <c r="E57" s="7">
        <v>84</v>
      </c>
      <c r="F57" s="7">
        <v>84</v>
      </c>
      <c r="G57" s="7">
        <v>87.65</v>
      </c>
      <c r="H57" s="7">
        <v>83</v>
      </c>
      <c r="I57" s="7">
        <v>86.95</v>
      </c>
      <c r="J57" s="7">
        <v>2134950</v>
      </c>
      <c r="K57" s="7">
        <v>25000</v>
      </c>
      <c r="L57" s="7">
        <v>102.5</v>
      </c>
      <c r="M57" s="7">
        <v>50</v>
      </c>
      <c r="N57" s="8">
        <f t="shared" si="0"/>
        <v>85.12</v>
      </c>
    </row>
    <row r="58" spans="1:14" ht="15">
      <c r="A58" s="6" t="s">
        <v>17</v>
      </c>
      <c r="B58" s="6" t="s">
        <v>18</v>
      </c>
      <c r="C58" s="6" t="s">
        <v>132</v>
      </c>
      <c r="D58" s="6" t="s">
        <v>133</v>
      </c>
      <c r="E58" s="7">
        <v>93.25</v>
      </c>
      <c r="F58" s="7">
        <v>98.8</v>
      </c>
      <c r="G58" s="7">
        <v>98.8</v>
      </c>
      <c r="H58" s="7">
        <v>95.4</v>
      </c>
      <c r="I58" s="7">
        <v>95.4</v>
      </c>
      <c r="J58" s="7">
        <v>384650</v>
      </c>
      <c r="K58" s="7">
        <v>4000</v>
      </c>
      <c r="L58" s="7">
        <v>239.8</v>
      </c>
      <c r="M58" s="7">
        <v>92.7</v>
      </c>
      <c r="N58" s="8">
        <f t="shared" si="0"/>
        <v>96.33</v>
      </c>
    </row>
    <row r="59" spans="1:14" ht="15">
      <c r="A59" s="6" t="s">
        <v>17</v>
      </c>
      <c r="B59" s="6" t="s">
        <v>18</v>
      </c>
      <c r="C59" s="6" t="s">
        <v>134</v>
      </c>
      <c r="D59" s="6" t="s">
        <v>135</v>
      </c>
      <c r="E59" s="7">
        <v>65</v>
      </c>
      <c r="F59" s="7">
        <v>63.1</v>
      </c>
      <c r="G59" s="7">
        <v>68</v>
      </c>
      <c r="H59" s="7">
        <v>62</v>
      </c>
      <c r="I59" s="7">
        <v>65.5</v>
      </c>
      <c r="J59" s="7">
        <v>617880</v>
      </c>
      <c r="K59" s="7">
        <v>9600</v>
      </c>
      <c r="L59" s="7">
        <v>128.85</v>
      </c>
      <c r="M59" s="7">
        <v>61.2</v>
      </c>
      <c r="N59" s="8">
        <f t="shared" si="0"/>
        <v>64.72</v>
      </c>
    </row>
    <row r="60" spans="1:14" ht="15">
      <c r="A60" s="6" t="s">
        <v>17</v>
      </c>
      <c r="B60" s="6" t="s">
        <v>35</v>
      </c>
      <c r="C60" s="6" t="s">
        <v>136</v>
      </c>
      <c r="D60" s="6" t="s">
        <v>137</v>
      </c>
      <c r="E60" s="7">
        <v>20.5</v>
      </c>
      <c r="F60" s="7">
        <v>20.05</v>
      </c>
      <c r="G60" s="7">
        <v>20.3</v>
      </c>
      <c r="H60" s="7">
        <v>20.05</v>
      </c>
      <c r="I60" s="7">
        <v>20.3</v>
      </c>
      <c r="J60" s="7">
        <v>567900</v>
      </c>
      <c r="K60" s="7">
        <v>28000</v>
      </c>
      <c r="L60" s="7">
        <v>25.3</v>
      </c>
      <c r="M60" s="7">
        <v>13.65</v>
      </c>
      <c r="N60" s="8">
        <f t="shared" si="0"/>
        <v>20.240000000000002</v>
      </c>
    </row>
    <row r="61" spans="1:14" ht="15">
      <c r="A61" s="6" t="s">
        <v>17</v>
      </c>
      <c r="B61" s="6" t="s">
        <v>18</v>
      </c>
      <c r="C61" s="6" t="s">
        <v>138</v>
      </c>
      <c r="D61" s="6" t="s">
        <v>139</v>
      </c>
      <c r="E61" s="7">
        <v>152</v>
      </c>
      <c r="F61" s="7">
        <v>152.94999999999999</v>
      </c>
      <c r="G61" s="7">
        <v>156.94999999999999</v>
      </c>
      <c r="H61" s="7">
        <v>150.94999999999999</v>
      </c>
      <c r="I61" s="7">
        <v>152.05000000000001</v>
      </c>
      <c r="J61" s="7">
        <v>804100</v>
      </c>
      <c r="K61" s="7">
        <v>5200</v>
      </c>
      <c r="L61" s="7">
        <v>317</v>
      </c>
      <c r="M61" s="7">
        <v>88</v>
      </c>
      <c r="N61" s="8">
        <f t="shared" si="0"/>
        <v>152.97999999999999</v>
      </c>
    </row>
    <row r="62" spans="1:14" ht="15">
      <c r="A62" s="6" t="s">
        <v>17</v>
      </c>
      <c r="B62" s="6" t="s">
        <v>18</v>
      </c>
      <c r="C62" s="6" t="s">
        <v>140</v>
      </c>
      <c r="D62" s="6" t="s">
        <v>141</v>
      </c>
      <c r="E62" s="7">
        <v>37.85</v>
      </c>
      <c r="F62" s="7">
        <v>37.85</v>
      </c>
      <c r="G62" s="7">
        <v>39.1</v>
      </c>
      <c r="H62" s="7">
        <v>37.85</v>
      </c>
      <c r="I62" s="7">
        <v>39.1</v>
      </c>
      <c r="J62" s="7">
        <v>277600</v>
      </c>
      <c r="K62" s="7">
        <v>7200</v>
      </c>
      <c r="L62" s="7">
        <v>63.2</v>
      </c>
      <c r="M62" s="7">
        <v>35.35</v>
      </c>
      <c r="N62" s="8">
        <f t="shared" si="0"/>
        <v>38.35</v>
      </c>
    </row>
    <row r="63" spans="1:14" ht="15">
      <c r="A63" s="6" t="s">
        <v>17</v>
      </c>
      <c r="B63" s="6" t="s">
        <v>18</v>
      </c>
      <c r="C63" s="6" t="s">
        <v>142</v>
      </c>
      <c r="D63" s="6" t="s">
        <v>143</v>
      </c>
      <c r="E63" s="7">
        <v>80</v>
      </c>
      <c r="F63" s="7">
        <v>87.9</v>
      </c>
      <c r="G63" s="7">
        <v>87.9</v>
      </c>
      <c r="H63" s="7">
        <v>82.95</v>
      </c>
      <c r="I63" s="7">
        <v>82.95</v>
      </c>
      <c r="J63" s="7">
        <v>273360</v>
      </c>
      <c r="K63" s="7">
        <v>3200</v>
      </c>
      <c r="L63" s="7">
        <v>111</v>
      </c>
      <c r="M63" s="7">
        <v>69</v>
      </c>
      <c r="N63" s="8">
        <f t="shared" si="0"/>
        <v>84.34</v>
      </c>
    </row>
    <row r="64" spans="1:14" ht="15">
      <c r="A64" s="6" t="s">
        <v>17</v>
      </c>
      <c r="B64" s="6" t="s">
        <v>18</v>
      </c>
      <c r="C64" s="6" t="s">
        <v>144</v>
      </c>
      <c r="D64" s="6" t="s">
        <v>145</v>
      </c>
      <c r="E64" s="7">
        <v>58.4</v>
      </c>
      <c r="F64" s="7">
        <v>55.6</v>
      </c>
      <c r="G64" s="7">
        <v>58</v>
      </c>
      <c r="H64" s="7">
        <v>55.5</v>
      </c>
      <c r="I64" s="7">
        <v>58</v>
      </c>
      <c r="J64" s="7">
        <v>202920</v>
      </c>
      <c r="K64" s="7">
        <v>3600</v>
      </c>
      <c r="L64" s="7">
        <v>98</v>
      </c>
      <c r="M64" s="7">
        <v>50.55</v>
      </c>
      <c r="N64" s="8">
        <f t="shared" si="0"/>
        <v>57.1</v>
      </c>
    </row>
    <row r="65" spans="1:14" ht="15">
      <c r="A65" s="6" t="s">
        <v>17</v>
      </c>
      <c r="B65" s="6" t="s">
        <v>35</v>
      </c>
      <c r="C65" s="6" t="s">
        <v>146</v>
      </c>
      <c r="D65" s="6" t="s">
        <v>147</v>
      </c>
      <c r="E65" s="7">
        <v>1127</v>
      </c>
      <c r="F65" s="7">
        <v>1127</v>
      </c>
      <c r="G65" s="7">
        <v>1127</v>
      </c>
      <c r="H65" s="7">
        <v>1127</v>
      </c>
      <c r="I65" s="7">
        <v>1127</v>
      </c>
      <c r="J65" s="7">
        <v>1014300</v>
      </c>
      <c r="K65" s="7">
        <v>900</v>
      </c>
      <c r="L65" s="7">
        <v>1306.45</v>
      </c>
      <c r="M65" s="7">
        <v>412</v>
      </c>
      <c r="N65" s="8">
        <f t="shared" si="0"/>
        <v>1127</v>
      </c>
    </row>
    <row r="66" spans="1:14" ht="15">
      <c r="A66" s="6" t="s">
        <v>17</v>
      </c>
      <c r="B66" s="6" t="s">
        <v>18</v>
      </c>
      <c r="C66" s="6" t="s">
        <v>148</v>
      </c>
      <c r="D66" s="6" t="s">
        <v>149</v>
      </c>
      <c r="E66" s="7">
        <v>397</v>
      </c>
      <c r="F66" s="7">
        <v>403.65</v>
      </c>
      <c r="G66" s="7">
        <v>403.65</v>
      </c>
      <c r="H66" s="7">
        <v>378</v>
      </c>
      <c r="I66" s="7">
        <v>381.9</v>
      </c>
      <c r="J66" s="7">
        <v>18649305</v>
      </c>
      <c r="K66" s="7">
        <v>48450</v>
      </c>
      <c r="L66" s="7">
        <v>888</v>
      </c>
      <c r="M66" s="7">
        <v>250.15</v>
      </c>
      <c r="N66" s="8">
        <f t="shared" si="0"/>
        <v>392.84</v>
      </c>
    </row>
    <row r="67" spans="1:14" ht="15">
      <c r="A67" s="6" t="s">
        <v>17</v>
      </c>
      <c r="B67" s="6" t="s">
        <v>18</v>
      </c>
      <c r="C67" s="6" t="s">
        <v>150</v>
      </c>
      <c r="D67" s="6" t="s">
        <v>151</v>
      </c>
      <c r="E67" s="7">
        <v>47.1</v>
      </c>
      <c r="F67" s="7">
        <v>49.45</v>
      </c>
      <c r="G67" s="7">
        <v>49.45</v>
      </c>
      <c r="H67" s="7">
        <v>48</v>
      </c>
      <c r="I67" s="7">
        <v>48</v>
      </c>
      <c r="J67" s="7">
        <v>48725</v>
      </c>
      <c r="K67" s="7">
        <v>1000</v>
      </c>
      <c r="L67" s="7">
        <v>105.9</v>
      </c>
      <c r="M67" s="7">
        <v>35.6</v>
      </c>
      <c r="N67" s="8">
        <f t="shared" si="0"/>
        <v>48.4</v>
      </c>
    </row>
    <row r="68" spans="1:14" ht="15">
      <c r="A68" s="6" t="s">
        <v>17</v>
      </c>
      <c r="B68" s="6" t="s">
        <v>18</v>
      </c>
      <c r="C68" s="6" t="s">
        <v>152</v>
      </c>
      <c r="D68" s="6" t="s">
        <v>153</v>
      </c>
      <c r="E68" s="7">
        <v>25.85</v>
      </c>
      <c r="F68" s="7">
        <v>26</v>
      </c>
      <c r="G68" s="7">
        <v>26</v>
      </c>
      <c r="H68" s="7">
        <v>25.35</v>
      </c>
      <c r="I68" s="7">
        <v>25.5</v>
      </c>
      <c r="J68" s="7">
        <v>818800</v>
      </c>
      <c r="K68" s="7">
        <v>32000</v>
      </c>
      <c r="L68" s="7">
        <v>36.9</v>
      </c>
      <c r="M68" s="7">
        <v>23.5</v>
      </c>
      <c r="N68" s="8">
        <f t="shared" si="0"/>
        <v>25.74</v>
      </c>
    </row>
    <row r="69" spans="1:14" ht="15">
      <c r="A69" s="6" t="s">
        <v>17</v>
      </c>
      <c r="B69" s="6" t="s">
        <v>18</v>
      </c>
      <c r="C69" s="6" t="s">
        <v>154</v>
      </c>
      <c r="D69" s="6" t="s">
        <v>155</v>
      </c>
      <c r="E69" s="7">
        <v>46.3</v>
      </c>
      <c r="F69" s="7">
        <v>45.35</v>
      </c>
      <c r="G69" s="7">
        <v>45.5</v>
      </c>
      <c r="H69" s="7">
        <v>45</v>
      </c>
      <c r="I69" s="7">
        <v>45</v>
      </c>
      <c r="J69" s="7">
        <v>361050</v>
      </c>
      <c r="K69" s="7">
        <v>8000</v>
      </c>
      <c r="L69" s="7">
        <v>136.30000000000001</v>
      </c>
      <c r="M69" s="7">
        <v>45</v>
      </c>
      <c r="N69" s="8">
        <f t="shared" si="0"/>
        <v>45.429999999999993</v>
      </c>
    </row>
    <row r="70" spans="1:14" ht="15">
      <c r="A70" s="6" t="s">
        <v>17</v>
      </c>
      <c r="B70" s="6" t="s">
        <v>18</v>
      </c>
      <c r="C70" s="6" t="s">
        <v>156</v>
      </c>
      <c r="D70" s="6" t="s">
        <v>157</v>
      </c>
      <c r="E70" s="7">
        <v>16.8</v>
      </c>
      <c r="F70" s="7">
        <v>16.149999999999999</v>
      </c>
      <c r="G70" s="7">
        <v>16.5</v>
      </c>
      <c r="H70" s="7">
        <v>15.8</v>
      </c>
      <c r="I70" s="7">
        <v>16.5</v>
      </c>
      <c r="J70" s="7">
        <v>135600</v>
      </c>
      <c r="K70" s="7">
        <v>8400</v>
      </c>
      <c r="L70" s="7">
        <v>26.9</v>
      </c>
      <c r="M70" s="7">
        <v>15.05</v>
      </c>
      <c r="N70" s="8">
        <f t="shared" si="0"/>
        <v>16.350000000000001</v>
      </c>
    </row>
    <row r="71" spans="1:14" ht="15">
      <c r="A71" s="6" t="s">
        <v>17</v>
      </c>
      <c r="B71" s="6" t="s">
        <v>18</v>
      </c>
      <c r="C71" s="6" t="s">
        <v>158</v>
      </c>
      <c r="D71" s="6" t="s">
        <v>159</v>
      </c>
      <c r="E71" s="7">
        <v>28.25</v>
      </c>
      <c r="F71" s="7">
        <v>27.75</v>
      </c>
      <c r="G71" s="7">
        <v>27.95</v>
      </c>
      <c r="H71" s="7">
        <v>26.75</v>
      </c>
      <c r="I71" s="7">
        <v>27.25</v>
      </c>
      <c r="J71" s="7">
        <v>10084050</v>
      </c>
      <c r="K71" s="7">
        <v>369000</v>
      </c>
      <c r="L71" s="7">
        <v>68.8</v>
      </c>
      <c r="M71" s="7">
        <v>25.75</v>
      </c>
      <c r="N71" s="8">
        <f t="shared" si="0"/>
        <v>27.589999999999996</v>
      </c>
    </row>
    <row r="72" spans="1:14" ht="15">
      <c r="A72" s="6" t="s">
        <v>17</v>
      </c>
      <c r="B72" s="6" t="s">
        <v>18</v>
      </c>
      <c r="C72" s="6" t="s">
        <v>160</v>
      </c>
      <c r="D72" s="6" t="s">
        <v>161</v>
      </c>
      <c r="E72" s="7">
        <v>107.5</v>
      </c>
      <c r="F72" s="7">
        <v>108.95</v>
      </c>
      <c r="G72" s="7">
        <v>110</v>
      </c>
      <c r="H72" s="7">
        <v>99</v>
      </c>
      <c r="I72" s="7">
        <v>102.8</v>
      </c>
      <c r="J72" s="7">
        <v>3842850</v>
      </c>
      <c r="K72" s="7">
        <v>36750</v>
      </c>
      <c r="L72" s="7">
        <v>183.9</v>
      </c>
      <c r="M72" s="7">
        <v>99</v>
      </c>
      <c r="N72" s="8">
        <f t="shared" si="0"/>
        <v>105.65</v>
      </c>
    </row>
    <row r="73" spans="1:14" ht="15">
      <c r="A73" s="6" t="s">
        <v>17</v>
      </c>
      <c r="B73" s="6" t="s">
        <v>18</v>
      </c>
      <c r="C73" s="6" t="s">
        <v>162</v>
      </c>
      <c r="D73" s="6" t="s">
        <v>163</v>
      </c>
      <c r="E73" s="7">
        <v>46</v>
      </c>
      <c r="F73" s="7">
        <v>45.95</v>
      </c>
      <c r="G73" s="7">
        <v>48.15</v>
      </c>
      <c r="H73" s="7">
        <v>44.5</v>
      </c>
      <c r="I73" s="7">
        <v>48.15</v>
      </c>
      <c r="J73" s="7">
        <v>1109100</v>
      </c>
      <c r="K73" s="7">
        <v>24000</v>
      </c>
      <c r="L73" s="7">
        <v>71</v>
      </c>
      <c r="M73" s="7">
        <v>36.1</v>
      </c>
      <c r="N73" s="8">
        <f t="shared" si="0"/>
        <v>46.55</v>
      </c>
    </row>
    <row r="74" spans="1:14" ht="15">
      <c r="A74" s="6" t="s">
        <v>17</v>
      </c>
      <c r="B74" s="6" t="s">
        <v>18</v>
      </c>
      <c r="C74" s="6" t="s">
        <v>164</v>
      </c>
      <c r="D74" s="6" t="s">
        <v>165</v>
      </c>
      <c r="E74" s="7">
        <v>262.55</v>
      </c>
      <c r="F74" s="7">
        <v>267.35000000000002</v>
      </c>
      <c r="G74" s="7">
        <v>276.39999999999998</v>
      </c>
      <c r="H74" s="7">
        <v>262.05</v>
      </c>
      <c r="I74" s="7">
        <v>274</v>
      </c>
      <c r="J74" s="7">
        <v>7174080</v>
      </c>
      <c r="K74" s="7">
        <v>26400</v>
      </c>
      <c r="L74" s="7">
        <v>358</v>
      </c>
      <c r="M74" s="7">
        <v>140</v>
      </c>
      <c r="N74" s="8">
        <f t="shared" si="0"/>
        <v>268.46999999999997</v>
      </c>
    </row>
    <row r="75" spans="1:14" ht="15">
      <c r="A75" s="6" t="s">
        <v>17</v>
      </c>
      <c r="B75" s="6" t="s">
        <v>18</v>
      </c>
      <c r="C75" s="6" t="s">
        <v>166</v>
      </c>
      <c r="D75" s="6" t="s">
        <v>167</v>
      </c>
      <c r="E75" s="7">
        <v>109.5</v>
      </c>
      <c r="F75" s="7">
        <v>112.6</v>
      </c>
      <c r="G75" s="7">
        <v>114</v>
      </c>
      <c r="H75" s="7">
        <v>110.5</v>
      </c>
      <c r="I75" s="7">
        <v>113.05</v>
      </c>
      <c r="J75" s="7">
        <v>2481600</v>
      </c>
      <c r="K75" s="7">
        <v>22000</v>
      </c>
      <c r="L75" s="7">
        <v>175</v>
      </c>
      <c r="M75" s="7">
        <v>82.1</v>
      </c>
      <c r="N75" s="8">
        <f t="shared" si="0"/>
        <v>111.93000000000002</v>
      </c>
    </row>
    <row r="76" spans="1:14" ht="15">
      <c r="A76" s="6" t="s">
        <v>17</v>
      </c>
      <c r="B76" s="6" t="s">
        <v>18</v>
      </c>
      <c r="C76" s="6" t="s">
        <v>168</v>
      </c>
      <c r="D76" s="6" t="s">
        <v>169</v>
      </c>
      <c r="E76" s="7">
        <v>46.5</v>
      </c>
      <c r="F76" s="7">
        <v>48.95</v>
      </c>
      <c r="G76" s="7">
        <v>48.95</v>
      </c>
      <c r="H76" s="7">
        <v>45.15</v>
      </c>
      <c r="I76" s="7">
        <v>45.15</v>
      </c>
      <c r="J76" s="7">
        <v>373040</v>
      </c>
      <c r="K76" s="7">
        <v>8000</v>
      </c>
      <c r="L76" s="7">
        <v>129</v>
      </c>
      <c r="M76" s="7">
        <v>43.2</v>
      </c>
      <c r="N76" s="8">
        <f t="shared" si="0"/>
        <v>46.940000000000005</v>
      </c>
    </row>
    <row r="77" spans="1:14" ht="15">
      <c r="A77" s="6" t="s">
        <v>17</v>
      </c>
      <c r="B77" s="6" t="s">
        <v>18</v>
      </c>
      <c r="C77" s="6" t="s">
        <v>170</v>
      </c>
      <c r="D77" s="6" t="s">
        <v>171</v>
      </c>
      <c r="E77" s="7">
        <v>58.05</v>
      </c>
      <c r="F77" s="7">
        <v>57.6</v>
      </c>
      <c r="G77" s="7">
        <v>57.6</v>
      </c>
      <c r="H77" s="7">
        <v>57</v>
      </c>
      <c r="I77" s="7">
        <v>57</v>
      </c>
      <c r="J77" s="7">
        <v>456960</v>
      </c>
      <c r="K77" s="7">
        <v>8000</v>
      </c>
      <c r="L77" s="7">
        <v>113.9</v>
      </c>
      <c r="M77" s="7">
        <v>57</v>
      </c>
      <c r="N77" s="8">
        <f t="shared" si="0"/>
        <v>57.45</v>
      </c>
    </row>
    <row r="78" spans="1:14" ht="15">
      <c r="A78" s="6" t="s">
        <v>17</v>
      </c>
      <c r="B78" s="6" t="s">
        <v>18</v>
      </c>
      <c r="C78" s="6" t="s">
        <v>172</v>
      </c>
      <c r="D78" s="6" t="s">
        <v>173</v>
      </c>
      <c r="E78" s="7">
        <v>142.75</v>
      </c>
      <c r="F78" s="7">
        <v>145.75</v>
      </c>
      <c r="G78" s="7">
        <v>150.5</v>
      </c>
      <c r="H78" s="7">
        <v>140.1</v>
      </c>
      <c r="I78" s="7">
        <v>141.69999999999999</v>
      </c>
      <c r="J78" s="7">
        <v>45883650</v>
      </c>
      <c r="K78" s="7">
        <v>317000</v>
      </c>
      <c r="L78" s="7">
        <v>151.9</v>
      </c>
      <c r="M78" s="7">
        <v>96.75</v>
      </c>
      <c r="N78" s="8">
        <f t="shared" si="0"/>
        <v>144.16</v>
      </c>
    </row>
    <row r="79" spans="1:14" ht="15">
      <c r="A79" s="6" t="s">
        <v>17</v>
      </c>
      <c r="B79" s="6" t="s">
        <v>18</v>
      </c>
      <c r="C79" s="6" t="s">
        <v>174</v>
      </c>
      <c r="D79" s="6" t="s">
        <v>175</v>
      </c>
      <c r="E79" s="7">
        <v>197</v>
      </c>
      <c r="F79" s="7">
        <v>205.8</v>
      </c>
      <c r="G79" s="7">
        <v>205.8</v>
      </c>
      <c r="H79" s="7">
        <v>205.65</v>
      </c>
      <c r="I79" s="7">
        <v>205.65</v>
      </c>
      <c r="J79" s="7">
        <v>329160</v>
      </c>
      <c r="K79" s="7">
        <v>1600</v>
      </c>
      <c r="L79" s="7">
        <v>274.05</v>
      </c>
      <c r="M79" s="7">
        <v>174.25</v>
      </c>
      <c r="N79" s="8">
        <f t="shared" si="0"/>
        <v>203.98</v>
      </c>
    </row>
    <row r="80" spans="1:14" ht="15">
      <c r="A80" s="6" t="s">
        <v>17</v>
      </c>
      <c r="B80" s="6" t="s">
        <v>18</v>
      </c>
      <c r="C80" s="6" t="s">
        <v>176</v>
      </c>
      <c r="D80" s="6" t="s">
        <v>177</v>
      </c>
      <c r="E80" s="7">
        <v>250.65</v>
      </c>
      <c r="F80" s="7">
        <v>252.95</v>
      </c>
      <c r="G80" s="7">
        <v>252.95</v>
      </c>
      <c r="H80" s="7">
        <v>239.35</v>
      </c>
      <c r="I80" s="7">
        <v>244.3</v>
      </c>
      <c r="J80" s="7">
        <v>7422400</v>
      </c>
      <c r="K80" s="7">
        <v>30400</v>
      </c>
      <c r="L80" s="7">
        <v>293</v>
      </c>
      <c r="M80" s="7">
        <v>177</v>
      </c>
      <c r="N80" s="8">
        <f t="shared" si="0"/>
        <v>248.04000000000002</v>
      </c>
    </row>
    <row r="81" spans="1:14" ht="15">
      <c r="A81" s="6" t="s">
        <v>17</v>
      </c>
      <c r="B81" s="6" t="s">
        <v>18</v>
      </c>
      <c r="C81" s="6" t="s">
        <v>178</v>
      </c>
      <c r="D81" s="6" t="s">
        <v>179</v>
      </c>
      <c r="E81" s="7">
        <v>63.15</v>
      </c>
      <c r="F81" s="7">
        <v>62.1</v>
      </c>
      <c r="G81" s="7">
        <v>62.1</v>
      </c>
      <c r="H81" s="7">
        <v>50.55</v>
      </c>
      <c r="I81" s="7">
        <v>52.35</v>
      </c>
      <c r="J81" s="7">
        <v>39649313</v>
      </c>
      <c r="K81" s="7">
        <v>738750</v>
      </c>
      <c r="L81" s="7">
        <v>931</v>
      </c>
      <c r="M81" s="7">
        <v>50.55</v>
      </c>
      <c r="N81" s="8">
        <f t="shared" si="0"/>
        <v>58.05</v>
      </c>
    </row>
    <row r="82" spans="1:14" ht="15">
      <c r="A82" s="6" t="s">
        <v>17</v>
      </c>
      <c r="B82" s="6" t="s">
        <v>18</v>
      </c>
      <c r="C82" s="6" t="s">
        <v>180</v>
      </c>
      <c r="D82" s="6" t="s">
        <v>181</v>
      </c>
      <c r="E82" s="7">
        <v>39.6</v>
      </c>
      <c r="F82" s="7">
        <v>40.5</v>
      </c>
      <c r="G82" s="7">
        <v>40.5</v>
      </c>
      <c r="H82" s="7">
        <v>40.5</v>
      </c>
      <c r="I82" s="7">
        <v>40.5</v>
      </c>
      <c r="J82" s="7">
        <v>40500</v>
      </c>
      <c r="K82" s="7">
        <v>1000</v>
      </c>
      <c r="L82" s="7">
        <v>94</v>
      </c>
      <c r="M82" s="7">
        <v>32.6</v>
      </c>
      <c r="N82" s="8">
        <f t="shared" si="0"/>
        <v>40.32</v>
      </c>
    </row>
    <row r="83" spans="1:14" ht="15">
      <c r="A83" s="6" t="s">
        <v>17</v>
      </c>
      <c r="B83" s="6" t="s">
        <v>18</v>
      </c>
      <c r="C83" s="6" t="s">
        <v>182</v>
      </c>
      <c r="D83" s="6" t="s">
        <v>183</v>
      </c>
      <c r="E83" s="7">
        <v>162.6</v>
      </c>
      <c r="F83" s="7">
        <v>160.05000000000001</v>
      </c>
      <c r="G83" s="7">
        <v>164.05</v>
      </c>
      <c r="H83" s="7">
        <v>156.44999999999999</v>
      </c>
      <c r="I83" s="7">
        <v>156.44999999999999</v>
      </c>
      <c r="J83" s="7">
        <v>4978800</v>
      </c>
      <c r="K83" s="7">
        <v>31200</v>
      </c>
      <c r="L83" s="7">
        <v>259</v>
      </c>
      <c r="M83" s="7">
        <v>134.4</v>
      </c>
      <c r="N83" s="8">
        <f t="shared" si="0"/>
        <v>159.92000000000002</v>
      </c>
    </row>
    <row r="84" spans="1:14" ht="15">
      <c r="A84" s="6" t="s">
        <v>17</v>
      </c>
      <c r="B84" s="6" t="s">
        <v>18</v>
      </c>
      <c r="C84" s="6" t="s">
        <v>184</v>
      </c>
      <c r="D84" s="6" t="s">
        <v>185</v>
      </c>
      <c r="E84" s="7">
        <v>104.65</v>
      </c>
      <c r="F84" s="7">
        <v>101.2</v>
      </c>
      <c r="G84" s="7">
        <v>102.85</v>
      </c>
      <c r="H84" s="7">
        <v>98</v>
      </c>
      <c r="I84" s="7">
        <v>99.8</v>
      </c>
      <c r="J84" s="7">
        <v>1916000</v>
      </c>
      <c r="K84" s="7">
        <v>19000</v>
      </c>
      <c r="L84" s="7">
        <v>147.9</v>
      </c>
      <c r="M84" s="7">
        <v>98</v>
      </c>
      <c r="N84" s="8">
        <f t="shared" si="0"/>
        <v>101.3</v>
      </c>
    </row>
    <row r="85" spans="1:14" ht="15">
      <c r="A85" s="6" t="s">
        <v>17</v>
      </c>
      <c r="B85" s="6" t="s">
        <v>18</v>
      </c>
      <c r="C85" s="6" t="s">
        <v>186</v>
      </c>
      <c r="D85" s="6" t="s">
        <v>187</v>
      </c>
      <c r="E85" s="7">
        <v>67.95</v>
      </c>
      <c r="F85" s="7">
        <v>64.650000000000006</v>
      </c>
      <c r="G85" s="7">
        <v>71.3</v>
      </c>
      <c r="H85" s="7">
        <v>64.650000000000006</v>
      </c>
      <c r="I85" s="7">
        <v>71.3</v>
      </c>
      <c r="J85" s="7">
        <v>931080</v>
      </c>
      <c r="K85" s="7">
        <v>13600</v>
      </c>
      <c r="L85" s="7">
        <v>100.2</v>
      </c>
      <c r="M85" s="7">
        <v>64</v>
      </c>
      <c r="N85" s="8">
        <f t="shared" si="0"/>
        <v>67.97</v>
      </c>
    </row>
    <row r="86" spans="1:14" ht="15">
      <c r="A86" s="6" t="s">
        <v>17</v>
      </c>
      <c r="B86" s="6" t="s">
        <v>18</v>
      </c>
      <c r="C86" s="6" t="s">
        <v>188</v>
      </c>
      <c r="D86" s="6" t="s">
        <v>189</v>
      </c>
      <c r="E86" s="7">
        <v>620.54999999999995</v>
      </c>
      <c r="F86" s="7">
        <v>617.4</v>
      </c>
      <c r="G86" s="7">
        <v>617.45000000000005</v>
      </c>
      <c r="H86" s="7">
        <v>598</v>
      </c>
      <c r="I86" s="7">
        <v>610.6</v>
      </c>
      <c r="J86" s="7">
        <v>17960648</v>
      </c>
      <c r="K86" s="7">
        <v>29700</v>
      </c>
      <c r="L86" s="7">
        <v>1189</v>
      </c>
      <c r="M86" s="7">
        <v>598</v>
      </c>
      <c r="N86" s="8">
        <f t="shared" si="0"/>
        <v>612.79999999999995</v>
      </c>
    </row>
    <row r="87" spans="1:14" ht="15">
      <c r="A87" s="6" t="s">
        <v>17</v>
      </c>
      <c r="B87" s="6" t="s">
        <v>18</v>
      </c>
      <c r="C87" s="6" t="s">
        <v>190</v>
      </c>
      <c r="D87" s="6" t="s">
        <v>191</v>
      </c>
      <c r="E87" s="7">
        <v>46</v>
      </c>
      <c r="F87" s="7">
        <v>45.1</v>
      </c>
      <c r="G87" s="7">
        <v>45.65</v>
      </c>
      <c r="H87" s="7">
        <v>45.1</v>
      </c>
      <c r="I87" s="7">
        <v>45.5</v>
      </c>
      <c r="J87" s="7">
        <v>272500</v>
      </c>
      <c r="K87" s="7">
        <v>6000</v>
      </c>
      <c r="L87" s="7">
        <v>66</v>
      </c>
      <c r="M87" s="7">
        <v>40.1</v>
      </c>
      <c r="N87" s="8">
        <f t="shared" si="0"/>
        <v>45.47</v>
      </c>
    </row>
    <row r="88" spans="1:14" ht="15">
      <c r="A88" s="6" t="s">
        <v>17</v>
      </c>
      <c r="B88" s="6" t="s">
        <v>18</v>
      </c>
      <c r="C88" s="6" t="s">
        <v>192</v>
      </c>
      <c r="D88" s="6" t="s">
        <v>193</v>
      </c>
      <c r="E88" s="7">
        <v>60.85</v>
      </c>
      <c r="F88" s="7">
        <v>60</v>
      </c>
      <c r="G88" s="7">
        <v>62</v>
      </c>
      <c r="H88" s="7">
        <v>60</v>
      </c>
      <c r="I88" s="7">
        <v>62</v>
      </c>
      <c r="J88" s="7">
        <v>510000</v>
      </c>
      <c r="K88" s="7">
        <v>8400</v>
      </c>
      <c r="L88" s="7">
        <v>95.8</v>
      </c>
      <c r="M88" s="7">
        <v>53.9</v>
      </c>
      <c r="N88" s="8">
        <f t="shared" si="0"/>
        <v>60.970000000000006</v>
      </c>
    </row>
    <row r="89" spans="1:14" ht="15">
      <c r="A89" s="6" t="s">
        <v>17</v>
      </c>
      <c r="B89" s="6" t="s">
        <v>18</v>
      </c>
      <c r="C89" s="6" t="s">
        <v>194</v>
      </c>
      <c r="D89" s="6" t="s">
        <v>195</v>
      </c>
      <c r="E89" s="7">
        <v>145.35</v>
      </c>
      <c r="F89" s="7">
        <v>140.25</v>
      </c>
      <c r="G89" s="7">
        <v>145</v>
      </c>
      <c r="H89" s="7">
        <v>138.55000000000001</v>
      </c>
      <c r="I89" s="7">
        <v>141.05000000000001</v>
      </c>
      <c r="J89" s="7">
        <v>1358760</v>
      </c>
      <c r="K89" s="7">
        <v>9600</v>
      </c>
      <c r="L89" s="7">
        <v>374.8</v>
      </c>
      <c r="M89" s="7">
        <v>132</v>
      </c>
      <c r="N89" s="8">
        <f t="shared" si="0"/>
        <v>142.04000000000002</v>
      </c>
    </row>
    <row r="90" spans="1:14" ht="15">
      <c r="A90" s="6" t="s">
        <v>17</v>
      </c>
      <c r="B90" s="6" t="s">
        <v>18</v>
      </c>
      <c r="C90" s="6" t="s">
        <v>196</v>
      </c>
      <c r="D90" s="6" t="s">
        <v>197</v>
      </c>
      <c r="E90" s="7">
        <v>46.05</v>
      </c>
      <c r="F90" s="7">
        <v>45.25</v>
      </c>
      <c r="G90" s="7">
        <v>45.35</v>
      </c>
      <c r="H90" s="7">
        <v>45.25</v>
      </c>
      <c r="I90" s="7">
        <v>45.35</v>
      </c>
      <c r="J90" s="7">
        <v>135900</v>
      </c>
      <c r="K90" s="7">
        <v>3000</v>
      </c>
      <c r="L90" s="7">
        <v>76.45</v>
      </c>
      <c r="M90" s="7">
        <v>38.35</v>
      </c>
      <c r="N90" s="8">
        <f t="shared" si="0"/>
        <v>45.45</v>
      </c>
    </row>
    <row r="91" spans="1:14" ht="15">
      <c r="A91" s="6" t="s">
        <v>17</v>
      </c>
      <c r="B91" s="6" t="s">
        <v>18</v>
      </c>
      <c r="C91" s="6" t="s">
        <v>198</v>
      </c>
      <c r="D91" s="6" t="s">
        <v>199</v>
      </c>
      <c r="E91" s="7">
        <v>114.65</v>
      </c>
      <c r="F91" s="7">
        <v>110.15</v>
      </c>
      <c r="G91" s="7">
        <v>111.95</v>
      </c>
      <c r="H91" s="7">
        <v>108.25</v>
      </c>
      <c r="I91" s="7">
        <v>110</v>
      </c>
      <c r="J91" s="7">
        <v>1059150</v>
      </c>
      <c r="K91" s="7">
        <v>9600</v>
      </c>
      <c r="L91" s="7">
        <v>220</v>
      </c>
      <c r="M91" s="7">
        <v>107.1</v>
      </c>
      <c r="N91" s="8">
        <f t="shared" si="0"/>
        <v>111</v>
      </c>
    </row>
    <row r="92" spans="1:14" ht="15">
      <c r="A92" s="6" t="s">
        <v>17</v>
      </c>
      <c r="B92" s="6" t="s">
        <v>18</v>
      </c>
      <c r="C92" s="6" t="s">
        <v>200</v>
      </c>
      <c r="D92" s="6" t="s">
        <v>201</v>
      </c>
      <c r="E92" s="7">
        <v>39.200000000000003</v>
      </c>
      <c r="F92" s="7">
        <v>39.200000000000003</v>
      </c>
      <c r="G92" s="7">
        <v>39.200000000000003</v>
      </c>
      <c r="H92" s="7">
        <v>37.5</v>
      </c>
      <c r="I92" s="7">
        <v>38.549999999999997</v>
      </c>
      <c r="J92" s="7">
        <v>683550</v>
      </c>
      <c r="K92" s="7">
        <v>18000</v>
      </c>
      <c r="L92" s="7">
        <v>129.9</v>
      </c>
      <c r="M92" s="7">
        <v>37.15</v>
      </c>
      <c r="N92" s="8">
        <f t="shared" si="0"/>
        <v>38.729999999999997</v>
      </c>
    </row>
    <row r="93" spans="1:14" ht="15">
      <c r="A93" s="6" t="s">
        <v>17</v>
      </c>
      <c r="B93" s="6" t="s">
        <v>18</v>
      </c>
      <c r="C93" s="6" t="s">
        <v>202</v>
      </c>
      <c r="D93" s="6" t="s">
        <v>203</v>
      </c>
      <c r="E93" s="7">
        <v>28.9</v>
      </c>
      <c r="F93" s="7">
        <v>26.5</v>
      </c>
      <c r="G93" s="7">
        <v>29.6</v>
      </c>
      <c r="H93" s="7">
        <v>26.5</v>
      </c>
      <c r="I93" s="7">
        <v>29.05</v>
      </c>
      <c r="J93" s="7">
        <v>611600</v>
      </c>
      <c r="K93" s="7">
        <v>22000</v>
      </c>
      <c r="L93" s="7">
        <v>66</v>
      </c>
      <c r="M93" s="7">
        <v>23.9</v>
      </c>
      <c r="N93" s="8">
        <f t="shared" si="0"/>
        <v>28.109999999999996</v>
      </c>
    </row>
    <row r="94" spans="1:14" ht="15">
      <c r="A94" s="6" t="s">
        <v>17</v>
      </c>
      <c r="B94" s="6" t="s">
        <v>18</v>
      </c>
      <c r="C94" s="6" t="s">
        <v>204</v>
      </c>
      <c r="D94" s="6" t="s">
        <v>205</v>
      </c>
      <c r="E94" s="7">
        <v>123</v>
      </c>
      <c r="F94" s="7">
        <v>121.55</v>
      </c>
      <c r="G94" s="7">
        <v>124</v>
      </c>
      <c r="H94" s="7">
        <v>121.5</v>
      </c>
      <c r="I94" s="7">
        <v>124</v>
      </c>
      <c r="J94" s="7">
        <v>3072300</v>
      </c>
      <c r="K94" s="7">
        <v>25000</v>
      </c>
      <c r="L94" s="7">
        <v>157.5</v>
      </c>
      <c r="M94" s="7">
        <v>103.2</v>
      </c>
      <c r="N94" s="8">
        <f t="shared" si="0"/>
        <v>122.80999999999999</v>
      </c>
    </row>
    <row r="95" spans="1:14" ht="15">
      <c r="A95" s="6" t="s">
        <v>206</v>
      </c>
      <c r="B95" s="6" t="s">
        <v>35</v>
      </c>
      <c r="C95" s="6" t="s">
        <v>207</v>
      </c>
      <c r="D95" s="6" t="s">
        <v>208</v>
      </c>
      <c r="E95" s="7">
        <v>395.95</v>
      </c>
      <c r="F95" s="7">
        <v>394.8</v>
      </c>
      <c r="G95" s="7">
        <v>402</v>
      </c>
      <c r="H95" s="7">
        <v>393.45</v>
      </c>
      <c r="I95" s="7">
        <v>401</v>
      </c>
      <c r="J95" s="7">
        <v>11482230</v>
      </c>
      <c r="K95" s="7">
        <v>28800</v>
      </c>
      <c r="L95" s="7">
        <v>402</v>
      </c>
      <c r="M95" s="7">
        <v>90.5</v>
      </c>
      <c r="N95" s="8">
        <f t="shared" si="0"/>
        <v>397.44</v>
      </c>
    </row>
    <row r="96" spans="1:14" ht="15">
      <c r="A96" s="6" t="s">
        <v>17</v>
      </c>
      <c r="B96" s="6" t="s">
        <v>18</v>
      </c>
      <c r="C96" s="6" t="s">
        <v>209</v>
      </c>
      <c r="D96" s="6" t="s">
        <v>210</v>
      </c>
      <c r="E96" s="7">
        <v>64.349999999999994</v>
      </c>
      <c r="F96" s="7">
        <v>68</v>
      </c>
      <c r="G96" s="7">
        <v>68</v>
      </c>
      <c r="H96" s="7">
        <v>62.6</v>
      </c>
      <c r="I96" s="7">
        <v>64.45</v>
      </c>
      <c r="J96" s="7">
        <v>1355940</v>
      </c>
      <c r="K96" s="7">
        <v>21200</v>
      </c>
      <c r="L96" s="7">
        <v>255.15</v>
      </c>
      <c r="M96" s="7">
        <v>61.25</v>
      </c>
      <c r="N96" s="8">
        <f t="shared" si="0"/>
        <v>65.47999999999999</v>
      </c>
    </row>
    <row r="97" spans="1:14" ht="15">
      <c r="A97" s="6" t="s">
        <v>206</v>
      </c>
      <c r="B97" s="6" t="s">
        <v>35</v>
      </c>
      <c r="C97" s="6" t="s">
        <v>211</v>
      </c>
      <c r="D97" s="6" t="s">
        <v>212</v>
      </c>
      <c r="E97" s="7">
        <v>227.45</v>
      </c>
      <c r="F97" s="7">
        <v>230</v>
      </c>
      <c r="G97" s="7">
        <v>230</v>
      </c>
      <c r="H97" s="7">
        <v>229.8</v>
      </c>
      <c r="I97" s="7">
        <v>229.8</v>
      </c>
      <c r="J97" s="7">
        <v>3678560</v>
      </c>
      <c r="K97" s="7">
        <v>16000</v>
      </c>
      <c r="L97" s="7">
        <v>257.75</v>
      </c>
      <c r="M97" s="7">
        <v>43</v>
      </c>
      <c r="N97" s="8">
        <f t="shared" si="0"/>
        <v>229.41</v>
      </c>
    </row>
    <row r="98" spans="1:14" ht="15">
      <c r="A98" s="6" t="s">
        <v>206</v>
      </c>
      <c r="B98" s="6" t="s">
        <v>35</v>
      </c>
      <c r="C98" s="6" t="s">
        <v>213</v>
      </c>
      <c r="D98" s="6" t="s">
        <v>214</v>
      </c>
      <c r="E98" s="7">
        <v>279.3</v>
      </c>
      <c r="F98" s="7">
        <v>275</v>
      </c>
      <c r="G98" s="7">
        <v>275</v>
      </c>
      <c r="H98" s="7">
        <v>273.75</v>
      </c>
      <c r="I98" s="7">
        <v>273.75</v>
      </c>
      <c r="J98" s="7">
        <v>685625</v>
      </c>
      <c r="K98" s="7">
        <v>2500</v>
      </c>
      <c r="L98" s="7">
        <v>330.6</v>
      </c>
      <c r="M98" s="7">
        <v>92.05</v>
      </c>
      <c r="N98" s="8">
        <f t="shared" si="0"/>
        <v>275.36</v>
      </c>
    </row>
    <row r="99" spans="1:14" ht="15">
      <c r="A99" s="6" t="s">
        <v>17</v>
      </c>
      <c r="B99" s="6" t="s">
        <v>18</v>
      </c>
      <c r="C99" s="6" t="s">
        <v>215</v>
      </c>
      <c r="D99" s="6" t="s">
        <v>216</v>
      </c>
      <c r="E99" s="7">
        <v>35.65</v>
      </c>
      <c r="F99" s="7">
        <v>37.799999999999997</v>
      </c>
      <c r="G99" s="7">
        <v>37.799999999999997</v>
      </c>
      <c r="H99" s="7">
        <v>37.799999999999997</v>
      </c>
      <c r="I99" s="7">
        <v>37.799999999999997</v>
      </c>
      <c r="J99" s="7">
        <v>151200</v>
      </c>
      <c r="K99" s="7">
        <v>4000</v>
      </c>
      <c r="L99" s="7">
        <v>44.25</v>
      </c>
      <c r="M99" s="7">
        <v>32</v>
      </c>
      <c r="N99" s="8">
        <f t="shared" si="0"/>
        <v>37.369999999999997</v>
      </c>
    </row>
    <row r="100" spans="1:14" ht="15">
      <c r="A100" s="6" t="s">
        <v>17</v>
      </c>
      <c r="B100" s="6" t="s">
        <v>18</v>
      </c>
      <c r="C100" s="6" t="s">
        <v>217</v>
      </c>
      <c r="D100" s="6" t="s">
        <v>218</v>
      </c>
      <c r="E100" s="7">
        <v>53.8</v>
      </c>
      <c r="F100" s="7">
        <v>56.15</v>
      </c>
      <c r="G100" s="7">
        <v>56.4</v>
      </c>
      <c r="H100" s="7">
        <v>52.2</v>
      </c>
      <c r="I100" s="7">
        <v>52.7</v>
      </c>
      <c r="J100" s="7">
        <v>2086150</v>
      </c>
      <c r="K100" s="7">
        <v>39000</v>
      </c>
      <c r="L100" s="7">
        <v>166.3</v>
      </c>
      <c r="M100" s="7">
        <v>50.55</v>
      </c>
      <c r="N100" s="8">
        <f t="shared" si="0"/>
        <v>54.25</v>
      </c>
    </row>
    <row r="101" spans="1:14" ht="15">
      <c r="A101" s="6" t="s">
        <v>17</v>
      </c>
      <c r="B101" s="6" t="s">
        <v>18</v>
      </c>
      <c r="C101" s="6" t="s">
        <v>219</v>
      </c>
      <c r="D101" s="6" t="s">
        <v>220</v>
      </c>
      <c r="E101" s="7">
        <v>24.7</v>
      </c>
      <c r="F101" s="7">
        <v>23.55</v>
      </c>
      <c r="G101" s="7">
        <v>23.55</v>
      </c>
      <c r="H101" s="7">
        <v>23.55</v>
      </c>
      <c r="I101" s="7">
        <v>23.55</v>
      </c>
      <c r="J101" s="7">
        <v>37680</v>
      </c>
      <c r="K101" s="7">
        <v>1600</v>
      </c>
      <c r="L101" s="7">
        <v>55.4</v>
      </c>
      <c r="M101" s="7">
        <v>22</v>
      </c>
      <c r="N101" s="8">
        <f t="shared" si="0"/>
        <v>23.78</v>
      </c>
    </row>
    <row r="102" spans="1:14" ht="15">
      <c r="A102" s="6" t="s">
        <v>17</v>
      </c>
      <c r="B102" s="6" t="s">
        <v>18</v>
      </c>
      <c r="C102" s="6" t="s">
        <v>221</v>
      </c>
      <c r="D102" s="6" t="s">
        <v>222</v>
      </c>
      <c r="E102" s="7">
        <v>55</v>
      </c>
      <c r="F102" s="7">
        <v>52.25</v>
      </c>
      <c r="G102" s="7">
        <v>52.25</v>
      </c>
      <c r="H102" s="7">
        <v>52.25</v>
      </c>
      <c r="I102" s="7">
        <v>52.25</v>
      </c>
      <c r="J102" s="7">
        <v>125400</v>
      </c>
      <c r="K102" s="7">
        <v>2400</v>
      </c>
      <c r="L102" s="7">
        <v>118.7</v>
      </c>
      <c r="M102" s="7">
        <v>52.25</v>
      </c>
      <c r="N102" s="8">
        <f t="shared" si="0"/>
        <v>52.8</v>
      </c>
    </row>
    <row r="103" spans="1:14" ht="15">
      <c r="A103" s="6" t="s">
        <v>17</v>
      </c>
      <c r="B103" s="6" t="s">
        <v>18</v>
      </c>
      <c r="C103" s="6" t="s">
        <v>223</v>
      </c>
      <c r="D103" s="6" t="s">
        <v>224</v>
      </c>
      <c r="E103" s="7">
        <v>134.65</v>
      </c>
      <c r="F103" s="7">
        <v>126.9</v>
      </c>
      <c r="G103" s="7">
        <v>135.1</v>
      </c>
      <c r="H103" s="7">
        <v>124.95</v>
      </c>
      <c r="I103" s="7">
        <v>126.45</v>
      </c>
      <c r="J103" s="7">
        <v>4520280</v>
      </c>
      <c r="K103" s="7">
        <v>35200</v>
      </c>
      <c r="L103" s="7">
        <v>209.5</v>
      </c>
      <c r="M103" s="7">
        <v>93.5</v>
      </c>
      <c r="N103" s="8">
        <f t="shared" si="0"/>
        <v>129.60999999999999</v>
      </c>
    </row>
    <row r="104" spans="1:14" ht="15">
      <c r="A104" s="6" t="s">
        <v>17</v>
      </c>
      <c r="B104" s="6" t="s">
        <v>18</v>
      </c>
      <c r="C104" s="6" t="s">
        <v>225</v>
      </c>
      <c r="D104" s="6" t="s">
        <v>226</v>
      </c>
      <c r="E104" s="7">
        <v>29</v>
      </c>
      <c r="F104" s="7">
        <v>27.5</v>
      </c>
      <c r="G104" s="7">
        <v>29.1</v>
      </c>
      <c r="H104" s="7">
        <v>27.25</v>
      </c>
      <c r="I104" s="7">
        <v>29</v>
      </c>
      <c r="J104" s="7">
        <v>1042000</v>
      </c>
      <c r="K104" s="7">
        <v>37500</v>
      </c>
      <c r="L104" s="7">
        <v>64</v>
      </c>
      <c r="M104" s="7">
        <v>26.5</v>
      </c>
      <c r="N104" s="8">
        <f t="shared" si="0"/>
        <v>28.369999999999997</v>
      </c>
    </row>
    <row r="105" spans="1:14" ht="15">
      <c r="A105" s="6" t="s">
        <v>17</v>
      </c>
      <c r="B105" s="6" t="s">
        <v>18</v>
      </c>
      <c r="C105" s="6" t="s">
        <v>227</v>
      </c>
      <c r="D105" s="6" t="s">
        <v>228</v>
      </c>
      <c r="E105" s="7">
        <v>39</v>
      </c>
      <c r="F105" s="7">
        <v>39.9</v>
      </c>
      <c r="G105" s="7">
        <v>39.9</v>
      </c>
      <c r="H105" s="7">
        <v>36.5</v>
      </c>
      <c r="I105" s="7">
        <v>37.799999999999997</v>
      </c>
      <c r="J105" s="7">
        <v>1213100</v>
      </c>
      <c r="K105" s="7">
        <v>32000</v>
      </c>
      <c r="L105" s="7">
        <v>58</v>
      </c>
      <c r="M105" s="7">
        <v>30.55</v>
      </c>
      <c r="N105" s="8">
        <f t="shared" si="0"/>
        <v>38.619999999999997</v>
      </c>
    </row>
    <row r="106" spans="1:14" ht="15">
      <c r="A106" s="6" t="s">
        <v>17</v>
      </c>
      <c r="B106" s="6" t="s">
        <v>18</v>
      </c>
      <c r="C106" s="6" t="s">
        <v>229</v>
      </c>
      <c r="D106" s="6" t="s">
        <v>230</v>
      </c>
      <c r="E106" s="7">
        <v>135.15</v>
      </c>
      <c r="F106" s="7">
        <v>135.15</v>
      </c>
      <c r="G106" s="7">
        <v>139</v>
      </c>
      <c r="H106" s="7">
        <v>133</v>
      </c>
      <c r="I106" s="7">
        <v>138.15</v>
      </c>
      <c r="J106" s="7">
        <v>544325</v>
      </c>
      <c r="K106" s="7">
        <v>4000</v>
      </c>
      <c r="L106" s="7">
        <v>312.64999999999998</v>
      </c>
      <c r="M106" s="7">
        <v>85.4</v>
      </c>
      <c r="N106" s="8">
        <f t="shared" si="0"/>
        <v>136.08999999999997</v>
      </c>
    </row>
    <row r="107" spans="1:14" ht="15">
      <c r="A107" s="6" t="s">
        <v>17</v>
      </c>
      <c r="B107" s="6" t="s">
        <v>35</v>
      </c>
      <c r="C107" s="6" t="s">
        <v>231</v>
      </c>
      <c r="D107" s="6" t="s">
        <v>232</v>
      </c>
      <c r="E107" s="7">
        <v>260</v>
      </c>
      <c r="F107" s="7">
        <v>260</v>
      </c>
      <c r="G107" s="7">
        <v>269.89999999999998</v>
      </c>
      <c r="H107" s="7">
        <v>254</v>
      </c>
      <c r="I107" s="7">
        <v>269.89999999999998</v>
      </c>
      <c r="J107" s="7">
        <v>722440</v>
      </c>
      <c r="K107" s="7">
        <v>2800</v>
      </c>
      <c r="L107" s="7">
        <v>348</v>
      </c>
      <c r="M107" s="7">
        <v>127.5</v>
      </c>
      <c r="N107" s="8">
        <f t="shared" si="0"/>
        <v>262.76</v>
      </c>
    </row>
    <row r="108" spans="1:14" ht="15">
      <c r="A108" s="6" t="s">
        <v>17</v>
      </c>
      <c r="B108" s="6" t="s">
        <v>18</v>
      </c>
      <c r="C108" s="6" t="s">
        <v>233</v>
      </c>
      <c r="D108" s="6" t="s">
        <v>234</v>
      </c>
      <c r="E108" s="7">
        <v>223.95</v>
      </c>
      <c r="F108" s="7">
        <v>220</v>
      </c>
      <c r="G108" s="7">
        <v>224.9</v>
      </c>
      <c r="H108" s="7">
        <v>217</v>
      </c>
      <c r="I108" s="7">
        <v>217.8</v>
      </c>
      <c r="J108" s="7">
        <v>12971040</v>
      </c>
      <c r="K108" s="7">
        <v>59200</v>
      </c>
      <c r="L108" s="7">
        <v>347.1</v>
      </c>
      <c r="M108" s="7">
        <v>215</v>
      </c>
      <c r="N108" s="8">
        <f t="shared" si="0"/>
        <v>220.73000000000002</v>
      </c>
    </row>
    <row r="109" spans="1:14" ht="15">
      <c r="A109" s="6" t="s">
        <v>17</v>
      </c>
      <c r="B109" s="6" t="s">
        <v>18</v>
      </c>
      <c r="C109" s="6" t="s">
        <v>235</v>
      </c>
      <c r="D109" s="6" t="s">
        <v>236</v>
      </c>
      <c r="E109" s="7">
        <v>124.9</v>
      </c>
      <c r="F109" s="7">
        <v>130</v>
      </c>
      <c r="G109" s="7">
        <v>133</v>
      </c>
      <c r="H109" s="7">
        <v>130</v>
      </c>
      <c r="I109" s="7">
        <v>131.94999999999999</v>
      </c>
      <c r="J109" s="7">
        <v>1988900</v>
      </c>
      <c r="K109" s="7">
        <v>15000</v>
      </c>
      <c r="L109" s="7">
        <v>143.9</v>
      </c>
      <c r="M109" s="7">
        <v>115</v>
      </c>
      <c r="N109" s="8">
        <f t="shared" si="0"/>
        <v>129.97</v>
      </c>
    </row>
    <row r="110" spans="1:14" ht="15">
      <c r="A110" s="6" t="s">
        <v>17</v>
      </c>
      <c r="B110" s="6" t="s">
        <v>18</v>
      </c>
      <c r="C110" s="6" t="s">
        <v>237</v>
      </c>
      <c r="D110" s="6" t="s">
        <v>238</v>
      </c>
      <c r="E110" s="7">
        <v>215.45</v>
      </c>
      <c r="F110" s="7">
        <v>211</v>
      </c>
      <c r="G110" s="7">
        <v>211</v>
      </c>
      <c r="H110" s="7">
        <v>205</v>
      </c>
      <c r="I110" s="7">
        <v>207.65</v>
      </c>
      <c r="J110" s="7">
        <v>2161600</v>
      </c>
      <c r="K110" s="7">
        <v>10400</v>
      </c>
      <c r="L110" s="7">
        <v>270</v>
      </c>
      <c r="M110" s="7">
        <v>147.55000000000001</v>
      </c>
      <c r="N110" s="8">
        <f t="shared" si="0"/>
        <v>210.01999999999998</v>
      </c>
    </row>
    <row r="111" spans="1:14" ht="15">
      <c r="A111" s="6" t="s">
        <v>17</v>
      </c>
      <c r="B111" s="6" t="s">
        <v>18</v>
      </c>
      <c r="C111" s="6" t="s">
        <v>239</v>
      </c>
      <c r="D111" s="6" t="s">
        <v>240</v>
      </c>
      <c r="E111" s="7">
        <v>31</v>
      </c>
      <c r="F111" s="7">
        <v>31.5</v>
      </c>
      <c r="G111" s="7">
        <v>31.65</v>
      </c>
      <c r="H111" s="7">
        <v>31.5</v>
      </c>
      <c r="I111" s="7">
        <v>31.6</v>
      </c>
      <c r="J111" s="7">
        <v>454980</v>
      </c>
      <c r="K111" s="7">
        <v>14400</v>
      </c>
      <c r="L111" s="7">
        <v>54.5</v>
      </c>
      <c r="M111" s="7">
        <v>29.2</v>
      </c>
      <c r="N111" s="8">
        <f t="shared" si="0"/>
        <v>31.45</v>
      </c>
    </row>
    <row r="112" spans="1:14" ht="15">
      <c r="A112" s="6" t="s">
        <v>17</v>
      </c>
      <c r="B112" s="6" t="s">
        <v>18</v>
      </c>
      <c r="C112" s="6" t="s">
        <v>241</v>
      </c>
      <c r="D112" s="6" t="s">
        <v>242</v>
      </c>
      <c r="E112" s="7">
        <v>75.55</v>
      </c>
      <c r="F112" s="7">
        <v>74.5</v>
      </c>
      <c r="G112" s="7">
        <v>77.650000000000006</v>
      </c>
      <c r="H112" s="7">
        <v>74.150000000000006</v>
      </c>
      <c r="I112" s="7">
        <v>75.2</v>
      </c>
      <c r="J112" s="7">
        <v>679450</v>
      </c>
      <c r="K112" s="7">
        <v>9000</v>
      </c>
      <c r="L112" s="7">
        <v>163.5</v>
      </c>
      <c r="M112" s="7">
        <v>74.150000000000006</v>
      </c>
      <c r="N112" s="8">
        <f t="shared" si="0"/>
        <v>75.41</v>
      </c>
    </row>
    <row r="113" spans="1:14" ht="15">
      <c r="A113" s="6" t="s">
        <v>17</v>
      </c>
      <c r="B113" s="6" t="s">
        <v>18</v>
      </c>
      <c r="C113" s="6" t="s">
        <v>243</v>
      </c>
      <c r="D113" s="6" t="s">
        <v>244</v>
      </c>
      <c r="E113" s="7">
        <v>80.849999999999994</v>
      </c>
      <c r="F113" s="7">
        <v>81</v>
      </c>
      <c r="G113" s="7">
        <v>87</v>
      </c>
      <c r="H113" s="7">
        <v>80.849999999999994</v>
      </c>
      <c r="I113" s="7">
        <v>82.15</v>
      </c>
      <c r="J113" s="7">
        <v>574900</v>
      </c>
      <c r="K113" s="7">
        <v>7000</v>
      </c>
      <c r="L113" s="7">
        <v>147</v>
      </c>
      <c r="M113" s="7">
        <v>79.25</v>
      </c>
      <c r="N113" s="8">
        <f t="shared" si="0"/>
        <v>82.37</v>
      </c>
    </row>
    <row r="114" spans="1:14" ht="15">
      <c r="A114" s="6" t="s">
        <v>17</v>
      </c>
      <c r="B114" s="6" t="s">
        <v>18</v>
      </c>
      <c r="C114" s="6" t="s">
        <v>245</v>
      </c>
      <c r="D114" s="6" t="s">
        <v>246</v>
      </c>
      <c r="E114" s="7">
        <v>95.4</v>
      </c>
      <c r="F114" s="7">
        <v>95.4</v>
      </c>
      <c r="G114" s="7">
        <v>98.85</v>
      </c>
      <c r="H114" s="7">
        <v>94</v>
      </c>
      <c r="I114" s="7">
        <v>94.25</v>
      </c>
      <c r="J114" s="7">
        <v>3003540</v>
      </c>
      <c r="K114" s="7">
        <v>31200</v>
      </c>
      <c r="L114" s="7">
        <v>153</v>
      </c>
      <c r="M114" s="7">
        <v>94</v>
      </c>
      <c r="N114" s="8">
        <f t="shared" si="0"/>
        <v>95.58</v>
      </c>
    </row>
    <row r="115" spans="1:14" ht="15">
      <c r="A115" s="6" t="s">
        <v>17</v>
      </c>
      <c r="B115" s="6" t="s">
        <v>18</v>
      </c>
      <c r="C115" s="6" t="s">
        <v>247</v>
      </c>
      <c r="D115" s="6" t="s">
        <v>248</v>
      </c>
      <c r="E115" s="7">
        <v>97.5</v>
      </c>
      <c r="F115" s="7">
        <v>95</v>
      </c>
      <c r="G115" s="7">
        <v>97</v>
      </c>
      <c r="H115" s="7">
        <v>95</v>
      </c>
      <c r="I115" s="7">
        <v>97</v>
      </c>
      <c r="J115" s="7">
        <v>259050</v>
      </c>
      <c r="K115" s="7">
        <v>2700</v>
      </c>
      <c r="L115" s="7">
        <v>480</v>
      </c>
      <c r="M115" s="7">
        <v>94.05</v>
      </c>
      <c r="N115" s="8">
        <f t="shared" si="0"/>
        <v>96.3</v>
      </c>
    </row>
    <row r="116" spans="1:14" ht="15">
      <c r="A116" s="6" t="s">
        <v>17</v>
      </c>
      <c r="B116" s="6" t="s">
        <v>18</v>
      </c>
      <c r="C116" s="6" t="s">
        <v>249</v>
      </c>
      <c r="D116" s="6" t="s">
        <v>250</v>
      </c>
      <c r="E116" s="7">
        <v>214</v>
      </c>
      <c r="F116" s="7">
        <v>214.9</v>
      </c>
      <c r="G116" s="7">
        <v>214.9</v>
      </c>
      <c r="H116" s="7">
        <v>214</v>
      </c>
      <c r="I116" s="7">
        <v>214</v>
      </c>
      <c r="J116" s="7">
        <v>4369920</v>
      </c>
      <c r="K116" s="7">
        <v>20400</v>
      </c>
      <c r="L116" s="7">
        <v>265</v>
      </c>
      <c r="M116" s="7">
        <v>167.35</v>
      </c>
      <c r="N116" s="8">
        <f t="shared" si="0"/>
        <v>214.35999999999999</v>
      </c>
    </row>
    <row r="117" spans="1:14" ht="15">
      <c r="A117" s="6" t="s">
        <v>17</v>
      </c>
      <c r="B117" s="6" t="s">
        <v>18</v>
      </c>
      <c r="C117" s="6" t="s">
        <v>251</v>
      </c>
      <c r="D117" s="6" t="s">
        <v>252</v>
      </c>
      <c r="E117" s="7">
        <v>155.19999999999999</v>
      </c>
      <c r="F117" s="7">
        <v>150.05000000000001</v>
      </c>
      <c r="G117" s="7">
        <v>151</v>
      </c>
      <c r="H117" s="7">
        <v>139.44999999999999</v>
      </c>
      <c r="I117" s="7">
        <v>142.55000000000001</v>
      </c>
      <c r="J117" s="7">
        <v>2207463</v>
      </c>
      <c r="K117" s="7">
        <v>15250</v>
      </c>
      <c r="L117" s="7">
        <v>319</v>
      </c>
      <c r="M117" s="7">
        <v>139.44999999999999</v>
      </c>
      <c r="N117" s="8">
        <f t="shared" si="0"/>
        <v>147.65</v>
      </c>
    </row>
    <row r="118" spans="1:14" ht="15">
      <c r="A118" s="6" t="s">
        <v>17</v>
      </c>
      <c r="B118" s="6" t="s">
        <v>18</v>
      </c>
      <c r="C118" s="6" t="s">
        <v>253</v>
      </c>
      <c r="D118" s="6" t="s">
        <v>254</v>
      </c>
      <c r="E118" s="7">
        <v>196</v>
      </c>
      <c r="F118" s="7">
        <v>205</v>
      </c>
      <c r="G118" s="7">
        <v>205</v>
      </c>
      <c r="H118" s="7">
        <v>205</v>
      </c>
      <c r="I118" s="7">
        <v>205</v>
      </c>
      <c r="J118" s="7">
        <v>123000</v>
      </c>
      <c r="K118" s="7">
        <v>600</v>
      </c>
      <c r="L118" s="7">
        <v>284</v>
      </c>
      <c r="M118" s="7">
        <v>164</v>
      </c>
      <c r="N118" s="8">
        <f t="shared" si="0"/>
        <v>203.2</v>
      </c>
    </row>
    <row r="119" spans="1:14" ht="15">
      <c r="A119" s="6" t="s">
        <v>17</v>
      </c>
      <c r="B119" s="6" t="s">
        <v>18</v>
      </c>
      <c r="C119" s="6" t="s">
        <v>255</v>
      </c>
      <c r="D119" s="6" t="s">
        <v>256</v>
      </c>
      <c r="E119" s="7">
        <v>13.5</v>
      </c>
      <c r="F119" s="7">
        <v>13.05</v>
      </c>
      <c r="G119" s="7">
        <v>13.5</v>
      </c>
      <c r="H119" s="7">
        <v>12.8</v>
      </c>
      <c r="I119" s="7">
        <v>12.95</v>
      </c>
      <c r="J119" s="7">
        <v>2715250</v>
      </c>
      <c r="K119" s="7">
        <v>210000</v>
      </c>
      <c r="L119" s="7">
        <v>162.80000000000001</v>
      </c>
      <c r="M119" s="7">
        <v>12.8</v>
      </c>
      <c r="N119" s="8">
        <f t="shared" si="0"/>
        <v>13.16</v>
      </c>
    </row>
    <row r="120" spans="1:14" ht="15">
      <c r="A120" s="6" t="s">
        <v>17</v>
      </c>
      <c r="B120" s="6" t="s">
        <v>18</v>
      </c>
      <c r="C120" s="6" t="s">
        <v>257</v>
      </c>
      <c r="D120" s="6" t="s">
        <v>258</v>
      </c>
      <c r="E120" s="7">
        <v>101.95</v>
      </c>
      <c r="F120" s="7">
        <v>100.2</v>
      </c>
      <c r="G120" s="7">
        <v>102</v>
      </c>
      <c r="H120" s="7">
        <v>82</v>
      </c>
      <c r="I120" s="7">
        <v>86.7</v>
      </c>
      <c r="J120" s="7">
        <v>18669750</v>
      </c>
      <c r="K120" s="7">
        <v>217000</v>
      </c>
      <c r="L120" s="7">
        <v>173</v>
      </c>
      <c r="M120" s="7">
        <v>82</v>
      </c>
      <c r="N120" s="8">
        <f t="shared" si="0"/>
        <v>94.57</v>
      </c>
    </row>
    <row r="121" spans="1:14" ht="15">
      <c r="A121" s="6" t="s">
        <v>17</v>
      </c>
      <c r="B121" s="6" t="s">
        <v>18</v>
      </c>
      <c r="C121" s="6" t="s">
        <v>259</v>
      </c>
      <c r="D121" s="6" t="s">
        <v>260</v>
      </c>
      <c r="E121" s="7">
        <v>155.15</v>
      </c>
      <c r="F121" s="7">
        <v>151.6</v>
      </c>
      <c r="G121" s="7">
        <v>153</v>
      </c>
      <c r="H121" s="7">
        <v>151.6</v>
      </c>
      <c r="I121" s="7">
        <v>153</v>
      </c>
      <c r="J121" s="7">
        <v>304600</v>
      </c>
      <c r="K121" s="7">
        <v>2000</v>
      </c>
      <c r="L121" s="7">
        <v>267.89999999999998</v>
      </c>
      <c r="M121" s="7">
        <v>138</v>
      </c>
      <c r="N121" s="8">
        <f t="shared" si="0"/>
        <v>152.87</v>
      </c>
    </row>
    <row r="122" spans="1:14" ht="15">
      <c r="A122" s="6" t="s">
        <v>17</v>
      </c>
      <c r="B122" s="6" t="s">
        <v>18</v>
      </c>
      <c r="C122" s="6" t="s">
        <v>261</v>
      </c>
      <c r="D122" s="6" t="s">
        <v>262</v>
      </c>
      <c r="E122" s="7">
        <v>100</v>
      </c>
      <c r="F122" s="7">
        <v>100</v>
      </c>
      <c r="G122" s="7">
        <v>100</v>
      </c>
      <c r="H122" s="7">
        <v>98</v>
      </c>
      <c r="I122" s="7">
        <v>100</v>
      </c>
      <c r="J122" s="7">
        <v>1066440</v>
      </c>
      <c r="K122" s="7">
        <v>10800</v>
      </c>
      <c r="L122" s="7">
        <v>123.5</v>
      </c>
      <c r="M122" s="7">
        <v>98</v>
      </c>
      <c r="N122" s="8">
        <f t="shared" si="0"/>
        <v>99.6</v>
      </c>
    </row>
    <row r="123" spans="1:14" ht="15">
      <c r="A123" s="6" t="s">
        <v>17</v>
      </c>
      <c r="B123" s="6" t="s">
        <v>18</v>
      </c>
      <c r="C123" s="6" t="s">
        <v>263</v>
      </c>
      <c r="D123" s="6" t="s">
        <v>264</v>
      </c>
      <c r="E123" s="7">
        <v>118</v>
      </c>
      <c r="F123" s="7">
        <v>118</v>
      </c>
      <c r="G123" s="7">
        <v>122.95</v>
      </c>
      <c r="H123" s="7">
        <v>117</v>
      </c>
      <c r="I123" s="7">
        <v>122.85</v>
      </c>
      <c r="J123" s="7">
        <v>1198840</v>
      </c>
      <c r="K123" s="7">
        <v>10000</v>
      </c>
      <c r="L123" s="7">
        <v>316</v>
      </c>
      <c r="M123" s="7">
        <v>114.5</v>
      </c>
      <c r="N123" s="8">
        <f t="shared" si="0"/>
        <v>119.75999999999999</v>
      </c>
    </row>
    <row r="124" spans="1:14" ht="15">
      <c r="A124" s="6" t="s">
        <v>17</v>
      </c>
      <c r="B124" s="6" t="s">
        <v>18</v>
      </c>
      <c r="C124" s="6" t="s">
        <v>265</v>
      </c>
      <c r="D124" s="6" t="s">
        <v>266</v>
      </c>
      <c r="E124" s="7">
        <v>69</v>
      </c>
      <c r="F124" s="7">
        <v>68</v>
      </c>
      <c r="G124" s="7">
        <v>73</v>
      </c>
      <c r="H124" s="7">
        <v>68</v>
      </c>
      <c r="I124" s="7">
        <v>72</v>
      </c>
      <c r="J124" s="7">
        <v>1019680</v>
      </c>
      <c r="K124" s="7">
        <v>14400</v>
      </c>
      <c r="L124" s="7">
        <v>135</v>
      </c>
      <c r="M124" s="7">
        <v>52</v>
      </c>
      <c r="N124" s="8">
        <f t="shared" si="0"/>
        <v>70</v>
      </c>
    </row>
    <row r="125" spans="1:14" ht="15">
      <c r="A125" s="6" t="s">
        <v>17</v>
      </c>
      <c r="B125" s="6" t="s">
        <v>18</v>
      </c>
      <c r="C125" s="6" t="s">
        <v>267</v>
      </c>
      <c r="D125" s="6" t="s">
        <v>268</v>
      </c>
      <c r="E125" s="7">
        <v>150.05000000000001</v>
      </c>
      <c r="F125" s="7">
        <v>150</v>
      </c>
      <c r="G125" s="7">
        <v>152</v>
      </c>
      <c r="H125" s="7">
        <v>148.25</v>
      </c>
      <c r="I125" s="7">
        <v>149.85</v>
      </c>
      <c r="J125" s="7">
        <v>2589966</v>
      </c>
      <c r="K125" s="7">
        <v>17280</v>
      </c>
      <c r="L125" s="7">
        <v>625.45000000000005</v>
      </c>
      <c r="M125" s="7">
        <v>136.5</v>
      </c>
      <c r="N125" s="8">
        <f t="shared" si="0"/>
        <v>150.03000000000003</v>
      </c>
    </row>
    <row r="126" spans="1:14" ht="15">
      <c r="A126" s="6" t="s">
        <v>17</v>
      </c>
      <c r="B126" s="6" t="s">
        <v>35</v>
      </c>
      <c r="C126" s="6" t="s">
        <v>269</v>
      </c>
      <c r="D126" s="6" t="s">
        <v>270</v>
      </c>
      <c r="E126" s="7">
        <v>60.25</v>
      </c>
      <c r="F126" s="7">
        <v>62.2</v>
      </c>
      <c r="G126" s="7">
        <v>63.2</v>
      </c>
      <c r="H126" s="7">
        <v>62.2</v>
      </c>
      <c r="I126" s="7">
        <v>62.85</v>
      </c>
      <c r="J126" s="7">
        <v>500720</v>
      </c>
      <c r="K126" s="7">
        <v>8000</v>
      </c>
      <c r="L126" s="7">
        <v>71.25</v>
      </c>
      <c r="M126" s="7">
        <v>36.9</v>
      </c>
      <c r="N126" s="8">
        <f t="shared" si="0"/>
        <v>62.140000000000008</v>
      </c>
    </row>
    <row r="127" spans="1:14" ht="15">
      <c r="A127" s="6" t="s">
        <v>17</v>
      </c>
      <c r="B127" s="6" t="s">
        <v>35</v>
      </c>
      <c r="C127" s="6" t="s">
        <v>271</v>
      </c>
      <c r="D127" s="6" t="s">
        <v>272</v>
      </c>
      <c r="E127" s="7">
        <v>216.7</v>
      </c>
      <c r="F127" s="7">
        <v>227.5</v>
      </c>
      <c r="G127" s="7">
        <v>227.5</v>
      </c>
      <c r="H127" s="7">
        <v>227.5</v>
      </c>
      <c r="I127" s="7">
        <v>227.5</v>
      </c>
      <c r="J127" s="7">
        <v>1092000</v>
      </c>
      <c r="K127" s="7">
        <v>4800</v>
      </c>
      <c r="L127" s="7">
        <v>281.89999999999998</v>
      </c>
      <c r="M127" s="7">
        <v>104.5</v>
      </c>
      <c r="N127" s="8">
        <f t="shared" si="0"/>
        <v>225.34</v>
      </c>
    </row>
    <row r="128" spans="1:14" ht="15">
      <c r="A128" s="6" t="s">
        <v>17</v>
      </c>
      <c r="B128" s="6" t="s">
        <v>18</v>
      </c>
      <c r="C128" s="6" t="s">
        <v>273</v>
      </c>
      <c r="D128" s="6" t="s">
        <v>274</v>
      </c>
      <c r="E128" s="7">
        <v>14.45</v>
      </c>
      <c r="F128" s="7">
        <v>14.4</v>
      </c>
      <c r="G128" s="7">
        <v>14.45</v>
      </c>
      <c r="H128" s="7">
        <v>14.4</v>
      </c>
      <c r="I128" s="7">
        <v>14.45</v>
      </c>
      <c r="J128" s="7">
        <v>34620</v>
      </c>
      <c r="K128" s="7">
        <v>2400</v>
      </c>
      <c r="L128" s="7">
        <v>46.9</v>
      </c>
      <c r="M128" s="7">
        <v>14.25</v>
      </c>
      <c r="N128" s="8">
        <f t="shared" si="0"/>
        <v>14.430000000000001</v>
      </c>
    </row>
    <row r="129" spans="1:14" ht="15">
      <c r="A129" s="6" t="s">
        <v>17</v>
      </c>
      <c r="B129" s="6" t="s">
        <v>18</v>
      </c>
      <c r="C129" s="6" t="s">
        <v>275</v>
      </c>
      <c r="D129" s="6" t="s">
        <v>276</v>
      </c>
      <c r="E129" s="7">
        <v>184.3</v>
      </c>
      <c r="F129" s="7">
        <v>178.05</v>
      </c>
      <c r="G129" s="7">
        <v>187.45</v>
      </c>
      <c r="H129" s="7">
        <v>176.05</v>
      </c>
      <c r="I129" s="7">
        <v>185.75</v>
      </c>
      <c r="J129" s="7">
        <v>5996375</v>
      </c>
      <c r="K129" s="7">
        <v>32500</v>
      </c>
      <c r="L129" s="7">
        <v>220</v>
      </c>
      <c r="M129" s="7">
        <v>108</v>
      </c>
      <c r="N129" s="8">
        <f t="shared" si="0"/>
        <v>182.32</v>
      </c>
    </row>
    <row r="130" spans="1:14" ht="15">
      <c r="A130" s="6" t="s">
        <v>17</v>
      </c>
      <c r="B130" s="6" t="s">
        <v>18</v>
      </c>
      <c r="C130" s="6" t="s">
        <v>277</v>
      </c>
      <c r="D130" s="6" t="s">
        <v>278</v>
      </c>
      <c r="E130" s="7">
        <v>129.5</v>
      </c>
      <c r="F130" s="7">
        <v>133</v>
      </c>
      <c r="G130" s="7">
        <v>133</v>
      </c>
      <c r="H130" s="7">
        <v>132</v>
      </c>
      <c r="I130" s="7">
        <v>132</v>
      </c>
      <c r="J130" s="7">
        <v>265000</v>
      </c>
      <c r="K130" s="7">
        <v>2000</v>
      </c>
      <c r="L130" s="7">
        <v>234</v>
      </c>
      <c r="M130" s="7">
        <v>109</v>
      </c>
      <c r="N130" s="8">
        <f t="shared" si="0"/>
        <v>131.9</v>
      </c>
    </row>
    <row r="131" spans="1:14" ht="15">
      <c r="A131" s="6" t="s">
        <v>17</v>
      </c>
      <c r="B131" s="6" t="s">
        <v>18</v>
      </c>
      <c r="C131" s="6" t="s">
        <v>279</v>
      </c>
      <c r="D131" s="6" t="s">
        <v>280</v>
      </c>
      <c r="E131" s="7">
        <v>121.35</v>
      </c>
      <c r="F131" s="7">
        <v>119.9</v>
      </c>
      <c r="G131" s="7">
        <v>124.4</v>
      </c>
      <c r="H131" s="7">
        <v>119</v>
      </c>
      <c r="I131" s="7">
        <v>119.2</v>
      </c>
      <c r="J131" s="7">
        <v>2564250</v>
      </c>
      <c r="K131" s="7">
        <v>21000</v>
      </c>
      <c r="L131" s="7">
        <v>164.85</v>
      </c>
      <c r="M131" s="7">
        <v>104</v>
      </c>
      <c r="N131" s="8">
        <f t="shared" si="0"/>
        <v>120.77000000000001</v>
      </c>
    </row>
    <row r="132" spans="1:14" ht="15">
      <c r="A132" s="6" t="s">
        <v>17</v>
      </c>
      <c r="B132" s="6" t="s">
        <v>18</v>
      </c>
      <c r="C132" s="6" t="s">
        <v>281</v>
      </c>
      <c r="D132" s="6" t="s">
        <v>282</v>
      </c>
      <c r="E132" s="7">
        <v>403.05</v>
      </c>
      <c r="F132" s="7">
        <v>401.1</v>
      </c>
      <c r="G132" s="7">
        <v>423.2</v>
      </c>
      <c r="H132" s="7">
        <v>400</v>
      </c>
      <c r="I132" s="7">
        <v>423.2</v>
      </c>
      <c r="J132" s="7">
        <v>21221710</v>
      </c>
      <c r="K132" s="7">
        <v>50400</v>
      </c>
      <c r="L132" s="7">
        <v>790</v>
      </c>
      <c r="M132" s="7">
        <v>375.05</v>
      </c>
      <c r="N132" s="8">
        <f t="shared" si="0"/>
        <v>410.11</v>
      </c>
    </row>
    <row r="133" spans="1:14" ht="15">
      <c r="A133" s="6" t="s">
        <v>17</v>
      </c>
      <c r="B133" s="6" t="s">
        <v>18</v>
      </c>
      <c r="C133" s="6" t="s">
        <v>283</v>
      </c>
      <c r="D133" s="6" t="s">
        <v>284</v>
      </c>
      <c r="E133" s="7">
        <v>187</v>
      </c>
      <c r="F133" s="7">
        <v>191.9</v>
      </c>
      <c r="G133" s="7">
        <v>200</v>
      </c>
      <c r="H133" s="7">
        <v>191.9</v>
      </c>
      <c r="I133" s="7">
        <v>200</v>
      </c>
      <c r="J133" s="7">
        <v>465510</v>
      </c>
      <c r="K133" s="7">
        <v>2400</v>
      </c>
      <c r="L133" s="7">
        <v>248</v>
      </c>
      <c r="M133" s="7">
        <v>176</v>
      </c>
      <c r="N133" s="8">
        <f t="shared" si="0"/>
        <v>194.16</v>
      </c>
    </row>
    <row r="134" spans="1:14" ht="15">
      <c r="A134" s="6" t="s">
        <v>17</v>
      </c>
      <c r="B134" s="6" t="s">
        <v>35</v>
      </c>
      <c r="C134" s="6" t="s">
        <v>285</v>
      </c>
      <c r="D134" s="6" t="s">
        <v>286</v>
      </c>
      <c r="E134" s="7">
        <v>81.650000000000006</v>
      </c>
      <c r="F134" s="7">
        <v>80</v>
      </c>
      <c r="G134" s="7">
        <v>80</v>
      </c>
      <c r="H134" s="7">
        <v>80</v>
      </c>
      <c r="I134" s="7">
        <v>80</v>
      </c>
      <c r="J134" s="7">
        <v>80000</v>
      </c>
      <c r="K134" s="7">
        <v>1000</v>
      </c>
      <c r="L134" s="7">
        <v>124.4</v>
      </c>
      <c r="M134" s="7">
        <v>68.849999999999994</v>
      </c>
      <c r="N134" s="8">
        <f t="shared" si="0"/>
        <v>80.33</v>
      </c>
    </row>
    <row r="135" spans="1:14" ht="15">
      <c r="A135" s="6" t="s">
        <v>17</v>
      </c>
      <c r="B135" s="6" t="s">
        <v>18</v>
      </c>
      <c r="C135" s="6" t="s">
        <v>287</v>
      </c>
      <c r="D135" s="6" t="s">
        <v>288</v>
      </c>
      <c r="E135" s="7">
        <v>115</v>
      </c>
      <c r="F135" s="7">
        <v>120.6</v>
      </c>
      <c r="G135" s="7">
        <v>120.6</v>
      </c>
      <c r="H135" s="7">
        <v>112.25</v>
      </c>
      <c r="I135" s="7">
        <v>112.4</v>
      </c>
      <c r="J135" s="7">
        <v>1672320</v>
      </c>
      <c r="K135" s="7">
        <v>14400</v>
      </c>
      <c r="L135" s="7">
        <v>140</v>
      </c>
      <c r="M135" s="7">
        <v>65.05</v>
      </c>
      <c r="N135" s="8">
        <f t="shared" si="0"/>
        <v>116.17</v>
      </c>
    </row>
    <row r="136" spans="1:14" ht="15">
      <c r="A136" s="6" t="s">
        <v>17</v>
      </c>
      <c r="B136" s="6" t="s">
        <v>18</v>
      </c>
      <c r="C136" s="6" t="s">
        <v>289</v>
      </c>
      <c r="D136" s="6" t="s">
        <v>290</v>
      </c>
      <c r="E136" s="7">
        <v>102.75</v>
      </c>
      <c r="F136" s="7">
        <v>97.65</v>
      </c>
      <c r="G136" s="7">
        <v>97.65</v>
      </c>
      <c r="H136" s="7">
        <v>97.65</v>
      </c>
      <c r="I136" s="7">
        <v>97.65</v>
      </c>
      <c r="J136" s="7">
        <v>585900</v>
      </c>
      <c r="K136" s="7">
        <v>6000</v>
      </c>
      <c r="L136" s="7">
        <v>175.5</v>
      </c>
      <c r="M136" s="7">
        <v>60</v>
      </c>
      <c r="N136" s="8">
        <f t="shared" si="0"/>
        <v>98.67</v>
      </c>
    </row>
    <row r="137" spans="1:14" ht="15">
      <c r="A137" s="6" t="s">
        <v>17</v>
      </c>
      <c r="B137" s="6" t="s">
        <v>18</v>
      </c>
      <c r="C137" s="6" t="s">
        <v>291</v>
      </c>
      <c r="D137" s="6" t="s">
        <v>292</v>
      </c>
      <c r="E137" s="7">
        <v>178.7</v>
      </c>
      <c r="F137" s="7">
        <v>179.8</v>
      </c>
      <c r="G137" s="7">
        <v>186.8</v>
      </c>
      <c r="H137" s="7">
        <v>177</v>
      </c>
      <c r="I137" s="7">
        <v>184</v>
      </c>
      <c r="J137" s="7">
        <v>25811670</v>
      </c>
      <c r="K137" s="7">
        <v>141000</v>
      </c>
      <c r="L137" s="7">
        <v>221.95</v>
      </c>
      <c r="M137" s="7">
        <v>117.2</v>
      </c>
      <c r="N137" s="8">
        <f t="shared" si="0"/>
        <v>181.26</v>
      </c>
    </row>
    <row r="138" spans="1:14" ht="15">
      <c r="A138" s="6" t="s">
        <v>17</v>
      </c>
      <c r="B138" s="6" t="s">
        <v>18</v>
      </c>
      <c r="C138" s="6" t="s">
        <v>293</v>
      </c>
      <c r="D138" s="6" t="s">
        <v>294</v>
      </c>
      <c r="E138" s="7">
        <v>146.75</v>
      </c>
      <c r="F138" s="7">
        <v>144.9</v>
      </c>
      <c r="G138" s="7">
        <v>145</v>
      </c>
      <c r="H138" s="7">
        <v>140.9</v>
      </c>
      <c r="I138" s="7">
        <v>143.35</v>
      </c>
      <c r="J138" s="7">
        <v>1598100</v>
      </c>
      <c r="K138" s="7">
        <v>11200</v>
      </c>
      <c r="L138" s="7">
        <v>449.9</v>
      </c>
      <c r="M138" s="7">
        <v>133</v>
      </c>
      <c r="N138" s="8">
        <f t="shared" si="0"/>
        <v>144.18</v>
      </c>
    </row>
    <row r="139" spans="1:14" ht="15">
      <c r="A139" s="6" t="s">
        <v>17</v>
      </c>
      <c r="B139" s="6" t="s">
        <v>18</v>
      </c>
      <c r="C139" s="6" t="s">
        <v>295</v>
      </c>
      <c r="D139" s="6" t="s">
        <v>296</v>
      </c>
      <c r="E139" s="7">
        <v>10.050000000000001</v>
      </c>
      <c r="F139" s="7">
        <v>9.4499999999999993</v>
      </c>
      <c r="G139" s="7">
        <v>9.9499999999999993</v>
      </c>
      <c r="H139" s="7">
        <v>9.4499999999999993</v>
      </c>
      <c r="I139" s="7">
        <v>9.9</v>
      </c>
      <c r="J139" s="7">
        <v>147150</v>
      </c>
      <c r="K139" s="7">
        <v>15000</v>
      </c>
      <c r="L139" s="7">
        <v>17.5</v>
      </c>
      <c r="M139" s="7">
        <v>9</v>
      </c>
      <c r="N139" s="8">
        <f t="shared" si="0"/>
        <v>9.76</v>
      </c>
    </row>
    <row r="140" spans="1:14" ht="15">
      <c r="A140" s="6" t="s">
        <v>17</v>
      </c>
      <c r="B140" s="6" t="s">
        <v>35</v>
      </c>
      <c r="C140" s="6" t="s">
        <v>297</v>
      </c>
      <c r="D140" s="6" t="s">
        <v>298</v>
      </c>
      <c r="E140" s="7">
        <v>18.5</v>
      </c>
      <c r="F140" s="7">
        <v>17.600000000000001</v>
      </c>
      <c r="G140" s="7">
        <v>17.600000000000001</v>
      </c>
      <c r="H140" s="7">
        <v>17.600000000000001</v>
      </c>
      <c r="I140" s="7">
        <v>17.600000000000001</v>
      </c>
      <c r="J140" s="7">
        <v>35200</v>
      </c>
      <c r="K140" s="7">
        <v>2000</v>
      </c>
      <c r="L140" s="7">
        <v>54</v>
      </c>
      <c r="M140" s="7">
        <v>17.5</v>
      </c>
      <c r="N140" s="8">
        <f t="shared" si="0"/>
        <v>17.78</v>
      </c>
    </row>
    <row r="141" spans="1:14" ht="15">
      <c r="A141" s="6" t="s">
        <v>17</v>
      </c>
      <c r="B141" s="6" t="s">
        <v>18</v>
      </c>
      <c r="C141" s="6" t="s">
        <v>299</v>
      </c>
      <c r="D141" s="6" t="s">
        <v>300</v>
      </c>
      <c r="E141" s="7">
        <v>254.3</v>
      </c>
      <c r="F141" s="7">
        <v>256</v>
      </c>
      <c r="G141" s="7">
        <v>258.5</v>
      </c>
      <c r="H141" s="7">
        <v>223.3</v>
      </c>
      <c r="I141" s="7">
        <v>234.35</v>
      </c>
      <c r="J141" s="7">
        <v>10357845</v>
      </c>
      <c r="K141" s="7">
        <v>42900</v>
      </c>
      <c r="L141" s="7">
        <v>555</v>
      </c>
      <c r="M141" s="7">
        <v>223.3</v>
      </c>
      <c r="N141" s="8">
        <f t="shared" si="0"/>
        <v>245.29000000000002</v>
      </c>
    </row>
    <row r="142" spans="1:14" ht="15">
      <c r="A142" s="6" t="s">
        <v>17</v>
      </c>
      <c r="B142" s="6" t="s">
        <v>18</v>
      </c>
      <c r="C142" s="6" t="s">
        <v>301</v>
      </c>
      <c r="D142" s="6" t="s">
        <v>302</v>
      </c>
      <c r="E142" s="7">
        <v>98.3</v>
      </c>
      <c r="F142" s="7">
        <v>103.2</v>
      </c>
      <c r="G142" s="7">
        <v>103.2</v>
      </c>
      <c r="H142" s="7">
        <v>103.2</v>
      </c>
      <c r="I142" s="7">
        <v>103.2</v>
      </c>
      <c r="J142" s="7">
        <v>3384960</v>
      </c>
      <c r="K142" s="7">
        <v>32800</v>
      </c>
      <c r="L142" s="7">
        <v>279.8</v>
      </c>
      <c r="M142" s="7">
        <v>83.4</v>
      </c>
      <c r="N142" s="8">
        <f t="shared" si="0"/>
        <v>102.22</v>
      </c>
    </row>
    <row r="143" spans="1:14" ht="15">
      <c r="A143" s="6" t="s">
        <v>17</v>
      </c>
      <c r="B143" s="6" t="s">
        <v>18</v>
      </c>
      <c r="C143" s="6" t="s">
        <v>303</v>
      </c>
      <c r="D143" s="6" t="s">
        <v>304</v>
      </c>
      <c r="E143" s="7">
        <v>18.899999999999999</v>
      </c>
      <c r="F143" s="7">
        <v>18.899999999999999</v>
      </c>
      <c r="G143" s="7">
        <v>18.899999999999999</v>
      </c>
      <c r="H143" s="7">
        <v>18.399999999999999</v>
      </c>
      <c r="I143" s="7">
        <v>18.45</v>
      </c>
      <c r="J143" s="7">
        <v>895200</v>
      </c>
      <c r="K143" s="7">
        <v>48000</v>
      </c>
      <c r="L143" s="7">
        <v>59</v>
      </c>
      <c r="M143" s="7">
        <v>18.25</v>
      </c>
      <c r="N143" s="8">
        <f t="shared" si="0"/>
        <v>18.709999999999997</v>
      </c>
    </row>
    <row r="144" spans="1:14" ht="15">
      <c r="A144" s="6" t="s">
        <v>17</v>
      </c>
      <c r="B144" s="6" t="s">
        <v>18</v>
      </c>
      <c r="C144" s="6" t="s">
        <v>305</v>
      </c>
      <c r="D144" s="6" t="s">
        <v>306</v>
      </c>
      <c r="E144" s="7">
        <v>338.7</v>
      </c>
      <c r="F144" s="7">
        <v>338.7</v>
      </c>
      <c r="G144" s="7">
        <v>355.6</v>
      </c>
      <c r="H144" s="7">
        <v>338.7</v>
      </c>
      <c r="I144" s="7">
        <v>355.2</v>
      </c>
      <c r="J144" s="7">
        <v>524475</v>
      </c>
      <c r="K144" s="7">
        <v>1500</v>
      </c>
      <c r="L144" s="7">
        <v>525.25</v>
      </c>
      <c r="M144" s="7">
        <v>306.64999999999998</v>
      </c>
      <c r="N144" s="8">
        <f t="shared" si="0"/>
        <v>345.38</v>
      </c>
    </row>
    <row r="145" spans="1:14" ht="15">
      <c r="A145" s="6" t="s">
        <v>17</v>
      </c>
      <c r="B145" s="6" t="s">
        <v>18</v>
      </c>
      <c r="C145" s="6" t="s">
        <v>307</v>
      </c>
      <c r="D145" s="6" t="s">
        <v>308</v>
      </c>
      <c r="E145" s="7">
        <v>122.95</v>
      </c>
      <c r="F145" s="7">
        <v>120</v>
      </c>
      <c r="G145" s="7">
        <v>128.9</v>
      </c>
      <c r="H145" s="7">
        <v>111.3</v>
      </c>
      <c r="I145" s="7">
        <v>115</v>
      </c>
      <c r="J145" s="7">
        <v>800962.5</v>
      </c>
      <c r="K145" s="7">
        <v>6750</v>
      </c>
      <c r="L145" s="7">
        <v>159.69999999999999</v>
      </c>
      <c r="M145" s="7">
        <v>93.1</v>
      </c>
      <c r="N145" s="8">
        <f t="shared" si="0"/>
        <v>119.63</v>
      </c>
    </row>
    <row r="146" spans="1:14" ht="15">
      <c r="A146" s="6" t="s">
        <v>17</v>
      </c>
      <c r="B146" s="6" t="s">
        <v>35</v>
      </c>
      <c r="C146" s="6" t="s">
        <v>309</v>
      </c>
      <c r="D146" s="6" t="s">
        <v>310</v>
      </c>
      <c r="E146" s="7">
        <v>44.9</v>
      </c>
      <c r="F146" s="7">
        <v>44.8</v>
      </c>
      <c r="G146" s="7">
        <v>45.2</v>
      </c>
      <c r="H146" s="7">
        <v>43.5</v>
      </c>
      <c r="I146" s="7">
        <v>44.05</v>
      </c>
      <c r="J146" s="7">
        <v>6515250</v>
      </c>
      <c r="K146" s="7">
        <v>147000</v>
      </c>
      <c r="L146" s="7">
        <v>179</v>
      </c>
      <c r="M146" s="7">
        <v>40</v>
      </c>
      <c r="N146" s="8">
        <f t="shared" si="0"/>
        <v>44.49</v>
      </c>
    </row>
    <row r="147" spans="1:14" ht="15">
      <c r="A147" s="6" t="s">
        <v>17</v>
      </c>
      <c r="B147" s="6" t="s">
        <v>35</v>
      </c>
      <c r="C147" s="6" t="s">
        <v>311</v>
      </c>
      <c r="D147" s="6" t="s">
        <v>312</v>
      </c>
      <c r="E147" s="7">
        <v>16</v>
      </c>
      <c r="F147" s="7">
        <v>16.8</v>
      </c>
      <c r="G147" s="7">
        <v>16.8</v>
      </c>
      <c r="H147" s="7">
        <v>16.100000000000001</v>
      </c>
      <c r="I147" s="7">
        <v>16.8</v>
      </c>
      <c r="J147" s="7">
        <v>251150</v>
      </c>
      <c r="K147" s="7">
        <v>15000</v>
      </c>
      <c r="L147" s="7">
        <v>31.75</v>
      </c>
      <c r="M147" s="7">
        <v>5.95</v>
      </c>
      <c r="N147" s="8">
        <f t="shared" si="0"/>
        <v>16.5</v>
      </c>
    </row>
    <row r="148" spans="1:14" ht="15">
      <c r="A148" s="6" t="s">
        <v>17</v>
      </c>
      <c r="B148" s="6" t="s">
        <v>18</v>
      </c>
      <c r="C148" s="6" t="s">
        <v>313</v>
      </c>
      <c r="D148" s="6" t="s">
        <v>314</v>
      </c>
      <c r="E148" s="7">
        <v>4.7</v>
      </c>
      <c r="F148" s="7">
        <v>4.7</v>
      </c>
      <c r="G148" s="7">
        <v>4.8499999999999996</v>
      </c>
      <c r="H148" s="7">
        <v>4.5</v>
      </c>
      <c r="I148" s="7">
        <v>4.5</v>
      </c>
      <c r="J148" s="7">
        <v>361125</v>
      </c>
      <c r="K148" s="7">
        <v>78750</v>
      </c>
      <c r="L148" s="7">
        <v>13.5</v>
      </c>
      <c r="M148" s="7">
        <v>4.5</v>
      </c>
      <c r="N148" s="8">
        <f t="shared" si="0"/>
        <v>4.6500000000000004</v>
      </c>
    </row>
    <row r="149" spans="1:14" ht="15">
      <c r="A149" s="6" t="s">
        <v>17</v>
      </c>
      <c r="B149" s="6" t="s">
        <v>18</v>
      </c>
      <c r="C149" s="6" t="s">
        <v>315</v>
      </c>
      <c r="D149" s="6" t="s">
        <v>316</v>
      </c>
      <c r="E149" s="7">
        <v>143.30000000000001</v>
      </c>
      <c r="F149" s="7">
        <v>144</v>
      </c>
      <c r="G149" s="7">
        <v>144</v>
      </c>
      <c r="H149" s="7">
        <v>144</v>
      </c>
      <c r="I149" s="7">
        <v>144</v>
      </c>
      <c r="J149" s="7">
        <v>86400</v>
      </c>
      <c r="K149" s="7">
        <v>600</v>
      </c>
      <c r="L149" s="7">
        <v>204</v>
      </c>
      <c r="M149" s="7">
        <v>124.5</v>
      </c>
      <c r="N149" s="8">
        <f t="shared" si="0"/>
        <v>143.85999999999999</v>
      </c>
    </row>
    <row r="150" spans="1:14" ht="15">
      <c r="A150" s="6" t="s">
        <v>17</v>
      </c>
      <c r="B150" s="6" t="s">
        <v>18</v>
      </c>
      <c r="C150" s="6" t="s">
        <v>317</v>
      </c>
      <c r="D150" s="6" t="s">
        <v>318</v>
      </c>
      <c r="E150" s="7">
        <v>333.55</v>
      </c>
      <c r="F150" s="7">
        <v>336</v>
      </c>
      <c r="G150" s="7">
        <v>343.55</v>
      </c>
      <c r="H150" s="7">
        <v>322</v>
      </c>
      <c r="I150" s="7">
        <v>325</v>
      </c>
      <c r="J150" s="7">
        <v>6110340</v>
      </c>
      <c r="K150" s="7">
        <v>18600</v>
      </c>
      <c r="L150" s="7">
        <v>616.5</v>
      </c>
      <c r="M150" s="7">
        <v>230</v>
      </c>
      <c r="N150" s="8">
        <f t="shared" si="0"/>
        <v>332.02</v>
      </c>
    </row>
    <row r="151" spans="1:14" ht="15">
      <c r="A151" s="6" t="s">
        <v>17</v>
      </c>
      <c r="B151" s="6" t="s">
        <v>18</v>
      </c>
      <c r="C151" s="6" t="s">
        <v>319</v>
      </c>
      <c r="D151" s="6" t="s">
        <v>320</v>
      </c>
      <c r="E151" s="7">
        <v>143</v>
      </c>
      <c r="F151" s="7">
        <v>142</v>
      </c>
      <c r="G151" s="7">
        <v>142.9</v>
      </c>
      <c r="H151" s="7">
        <v>135.1</v>
      </c>
      <c r="I151" s="7">
        <v>138.25</v>
      </c>
      <c r="J151" s="7">
        <v>2097810</v>
      </c>
      <c r="K151" s="7">
        <v>15000</v>
      </c>
      <c r="L151" s="7">
        <v>255</v>
      </c>
      <c r="M151" s="7">
        <v>101.9</v>
      </c>
      <c r="N151" s="8">
        <f t="shared" si="0"/>
        <v>140.25</v>
      </c>
    </row>
    <row r="152" spans="1:14" ht="15">
      <c r="A152" s="6" t="s">
        <v>17</v>
      </c>
      <c r="B152" s="6" t="s">
        <v>18</v>
      </c>
      <c r="C152" s="6" t="s">
        <v>321</v>
      </c>
      <c r="D152" s="6" t="s">
        <v>322</v>
      </c>
      <c r="E152" s="7">
        <v>47.75</v>
      </c>
      <c r="F152" s="7">
        <v>48.55</v>
      </c>
      <c r="G152" s="7">
        <v>48.6</v>
      </c>
      <c r="H152" s="7">
        <v>45.7</v>
      </c>
      <c r="I152" s="7">
        <v>47.85</v>
      </c>
      <c r="J152" s="7">
        <v>4002600</v>
      </c>
      <c r="K152" s="7">
        <v>85200</v>
      </c>
      <c r="L152" s="7">
        <v>58.2</v>
      </c>
      <c r="M152" s="7">
        <v>30.4</v>
      </c>
      <c r="N152" s="8">
        <f t="shared" si="0"/>
        <v>47.690000000000005</v>
      </c>
    </row>
    <row r="153" spans="1:14" ht="15">
      <c r="A153" s="6" t="s">
        <v>17</v>
      </c>
      <c r="B153" s="6" t="s">
        <v>18</v>
      </c>
      <c r="C153" s="6" t="s">
        <v>323</v>
      </c>
      <c r="D153" s="6" t="s">
        <v>324</v>
      </c>
      <c r="E153" s="7">
        <v>47</v>
      </c>
      <c r="F153" s="7">
        <v>46.7</v>
      </c>
      <c r="G153" s="7">
        <v>46.7</v>
      </c>
      <c r="H153" s="7">
        <v>44</v>
      </c>
      <c r="I153" s="7">
        <v>44.65</v>
      </c>
      <c r="J153" s="7">
        <v>1648200</v>
      </c>
      <c r="K153" s="7">
        <v>36800</v>
      </c>
      <c r="L153" s="7">
        <v>80</v>
      </c>
      <c r="M153" s="7">
        <v>44</v>
      </c>
      <c r="N153" s="8">
        <f t="shared" si="0"/>
        <v>45.81</v>
      </c>
    </row>
    <row r="154" spans="1:14" ht="15">
      <c r="A154" s="6" t="s">
        <v>17</v>
      </c>
      <c r="B154" s="6" t="s">
        <v>18</v>
      </c>
      <c r="C154" s="6" t="s">
        <v>325</v>
      </c>
      <c r="D154" s="6" t="s">
        <v>326</v>
      </c>
      <c r="E154" s="7">
        <v>138.05000000000001</v>
      </c>
      <c r="F154" s="7">
        <v>138.85</v>
      </c>
      <c r="G154" s="7">
        <v>139</v>
      </c>
      <c r="H154" s="7">
        <v>137.9</v>
      </c>
      <c r="I154" s="7">
        <v>139</v>
      </c>
      <c r="J154" s="7">
        <v>830650</v>
      </c>
      <c r="K154" s="7">
        <v>6000</v>
      </c>
      <c r="L154" s="7">
        <v>185.9</v>
      </c>
      <c r="M154" s="7">
        <v>111</v>
      </c>
      <c r="N154" s="8">
        <f t="shared" si="0"/>
        <v>138.56</v>
      </c>
    </row>
    <row r="155" spans="1:14" ht="15">
      <c r="A155" s="6" t="s">
        <v>17</v>
      </c>
      <c r="B155" s="6" t="s">
        <v>18</v>
      </c>
      <c r="C155" s="6" t="s">
        <v>327</v>
      </c>
      <c r="D155" s="6" t="s">
        <v>328</v>
      </c>
      <c r="E155" s="7">
        <v>197</v>
      </c>
      <c r="F155" s="7">
        <v>204</v>
      </c>
      <c r="G155" s="7">
        <v>206.5</v>
      </c>
      <c r="H155" s="7">
        <v>204</v>
      </c>
      <c r="I155" s="7">
        <v>206</v>
      </c>
      <c r="J155" s="7">
        <v>925875</v>
      </c>
      <c r="K155" s="7">
        <v>4500</v>
      </c>
      <c r="L155" s="7">
        <v>263.39999999999998</v>
      </c>
      <c r="M155" s="7">
        <v>180.5</v>
      </c>
      <c r="N155" s="8">
        <f t="shared" si="0"/>
        <v>203.5</v>
      </c>
    </row>
    <row r="156" spans="1:14" ht="15">
      <c r="A156" s="6" t="s">
        <v>17</v>
      </c>
      <c r="B156" s="6" t="s">
        <v>18</v>
      </c>
      <c r="C156" s="6" t="s">
        <v>329</v>
      </c>
      <c r="D156" s="6" t="s">
        <v>330</v>
      </c>
      <c r="E156" s="7">
        <v>116.5</v>
      </c>
      <c r="F156" s="7">
        <v>120.7</v>
      </c>
      <c r="G156" s="7">
        <v>120.7</v>
      </c>
      <c r="H156" s="7">
        <v>120.7</v>
      </c>
      <c r="I156" s="7">
        <v>120.7</v>
      </c>
      <c r="J156" s="7">
        <v>144840</v>
      </c>
      <c r="K156" s="7">
        <v>1200</v>
      </c>
      <c r="L156" s="7">
        <v>154</v>
      </c>
      <c r="M156" s="7">
        <v>82.3</v>
      </c>
      <c r="N156" s="8">
        <f t="shared" si="0"/>
        <v>119.85999999999999</v>
      </c>
    </row>
    <row r="157" spans="1:14" ht="15">
      <c r="A157" s="6" t="s">
        <v>17</v>
      </c>
      <c r="B157" s="6" t="s">
        <v>18</v>
      </c>
      <c r="C157" s="6" t="s">
        <v>331</v>
      </c>
      <c r="D157" s="6" t="s">
        <v>332</v>
      </c>
      <c r="E157" s="7">
        <v>200</v>
      </c>
      <c r="F157" s="7">
        <v>200</v>
      </c>
      <c r="G157" s="7">
        <v>202</v>
      </c>
      <c r="H157" s="7">
        <v>200</v>
      </c>
      <c r="I157" s="7">
        <v>200.65</v>
      </c>
      <c r="J157" s="7">
        <v>801500</v>
      </c>
      <c r="K157" s="7">
        <v>4000</v>
      </c>
      <c r="L157" s="7">
        <v>255.15</v>
      </c>
      <c r="M157" s="7">
        <v>110.7</v>
      </c>
      <c r="N157" s="8">
        <f t="shared" si="0"/>
        <v>200.53</v>
      </c>
    </row>
    <row r="158" spans="1:14" ht="15">
      <c r="A158" s="6" t="s">
        <v>17</v>
      </c>
      <c r="B158" s="6" t="s">
        <v>18</v>
      </c>
      <c r="C158" s="6" t="s">
        <v>333</v>
      </c>
      <c r="D158" s="6" t="s">
        <v>334</v>
      </c>
      <c r="E158" s="7">
        <v>31.5</v>
      </c>
      <c r="F158" s="7">
        <v>31.5</v>
      </c>
      <c r="G158" s="7">
        <v>31.5</v>
      </c>
      <c r="H158" s="7">
        <v>29.95</v>
      </c>
      <c r="I158" s="7">
        <v>30.05</v>
      </c>
      <c r="J158" s="7">
        <v>242880</v>
      </c>
      <c r="K158" s="7">
        <v>8000</v>
      </c>
      <c r="L158" s="7">
        <v>60</v>
      </c>
      <c r="M158" s="7">
        <v>27</v>
      </c>
      <c r="N158" s="8">
        <f t="shared" si="0"/>
        <v>30.9</v>
      </c>
    </row>
    <row r="159" spans="1:14" ht="15">
      <c r="A159" s="6" t="s">
        <v>17</v>
      </c>
      <c r="B159" s="6" t="s">
        <v>18</v>
      </c>
      <c r="C159" s="6" t="s">
        <v>335</v>
      </c>
      <c r="D159" s="6" t="s">
        <v>336</v>
      </c>
      <c r="E159" s="7">
        <v>50</v>
      </c>
      <c r="F159" s="7">
        <v>50</v>
      </c>
      <c r="G159" s="7">
        <v>50</v>
      </c>
      <c r="H159" s="7">
        <v>50</v>
      </c>
      <c r="I159" s="7">
        <v>50</v>
      </c>
      <c r="J159" s="7">
        <v>80000</v>
      </c>
      <c r="K159" s="7">
        <v>1600</v>
      </c>
      <c r="L159" s="7">
        <v>94.8</v>
      </c>
      <c r="M159" s="7">
        <v>49</v>
      </c>
      <c r="N159" s="8">
        <f t="shared" si="0"/>
        <v>50</v>
      </c>
    </row>
    <row r="160" spans="1:14" ht="15">
      <c r="A160" s="6" t="s">
        <v>17</v>
      </c>
      <c r="B160" s="6" t="s">
        <v>18</v>
      </c>
      <c r="C160" s="6" t="s">
        <v>337</v>
      </c>
      <c r="D160" s="6" t="s">
        <v>338</v>
      </c>
      <c r="E160" s="7">
        <v>141.75</v>
      </c>
      <c r="F160" s="7">
        <v>140.5</v>
      </c>
      <c r="G160" s="7">
        <v>141</v>
      </c>
      <c r="H160" s="7">
        <v>133.5</v>
      </c>
      <c r="I160" s="7">
        <v>140.6</v>
      </c>
      <c r="J160" s="7">
        <v>2885920</v>
      </c>
      <c r="K160" s="7">
        <v>20800</v>
      </c>
      <c r="L160" s="7">
        <v>320.89999999999998</v>
      </c>
      <c r="M160" s="7">
        <v>125</v>
      </c>
      <c r="N160" s="8">
        <f t="shared" si="0"/>
        <v>139.47</v>
      </c>
    </row>
    <row r="161" spans="1:14" ht="15">
      <c r="A161" s="6" t="s">
        <v>17</v>
      </c>
      <c r="B161" s="6" t="s">
        <v>35</v>
      </c>
      <c r="C161" s="6" t="s">
        <v>339</v>
      </c>
      <c r="D161" s="6" t="s">
        <v>340</v>
      </c>
      <c r="E161" s="7">
        <v>305.55</v>
      </c>
      <c r="F161" s="7">
        <v>302.5</v>
      </c>
      <c r="G161" s="7">
        <v>302.5</v>
      </c>
      <c r="H161" s="7">
        <v>302.5</v>
      </c>
      <c r="I161" s="7">
        <v>302.5</v>
      </c>
      <c r="J161" s="7">
        <v>226875</v>
      </c>
      <c r="K161" s="7">
        <v>750</v>
      </c>
      <c r="L161" s="7">
        <v>380</v>
      </c>
      <c r="M161" s="7">
        <v>112</v>
      </c>
      <c r="N161" s="8">
        <f t="shared" si="0"/>
        <v>303.11</v>
      </c>
    </row>
    <row r="162" spans="1:14" ht="15">
      <c r="A162" s="6" t="s">
        <v>17</v>
      </c>
      <c r="B162" s="6" t="s">
        <v>18</v>
      </c>
      <c r="C162" s="6" t="s">
        <v>341</v>
      </c>
      <c r="D162" s="6" t="s">
        <v>342</v>
      </c>
      <c r="E162" s="7">
        <v>171</v>
      </c>
      <c r="F162" s="7">
        <v>162.44999999999999</v>
      </c>
      <c r="G162" s="7">
        <v>162.44999999999999</v>
      </c>
      <c r="H162" s="7">
        <v>162.44999999999999</v>
      </c>
      <c r="I162" s="7">
        <v>162.44999999999999</v>
      </c>
      <c r="J162" s="7">
        <v>48735</v>
      </c>
      <c r="K162" s="7">
        <v>300</v>
      </c>
      <c r="L162" s="7">
        <v>508</v>
      </c>
      <c r="M162" s="7">
        <v>158</v>
      </c>
      <c r="N162" s="8">
        <f t="shared" si="0"/>
        <v>164.16</v>
      </c>
    </row>
    <row r="163" spans="1:14" ht="15">
      <c r="A163" s="6" t="s">
        <v>17</v>
      </c>
      <c r="B163" s="6" t="s">
        <v>18</v>
      </c>
      <c r="C163" s="6" t="s">
        <v>343</v>
      </c>
      <c r="D163" s="6" t="s">
        <v>344</v>
      </c>
      <c r="E163" s="7">
        <v>261.89999999999998</v>
      </c>
      <c r="F163" s="7">
        <v>267</v>
      </c>
      <c r="G163" s="7">
        <v>267</v>
      </c>
      <c r="H163" s="7">
        <v>267</v>
      </c>
      <c r="I163" s="7">
        <v>267</v>
      </c>
      <c r="J163" s="7">
        <v>160200</v>
      </c>
      <c r="K163" s="7">
        <v>600</v>
      </c>
      <c r="L163" s="7">
        <v>327.39999999999998</v>
      </c>
      <c r="M163" s="7">
        <v>101.05</v>
      </c>
      <c r="N163" s="8">
        <f t="shared" si="0"/>
        <v>265.98</v>
      </c>
    </row>
    <row r="164" spans="1:14" ht="15">
      <c r="A164" s="6" t="s">
        <v>17</v>
      </c>
      <c r="B164" s="6" t="s">
        <v>18</v>
      </c>
      <c r="C164" s="6" t="s">
        <v>345</v>
      </c>
      <c r="D164" s="6" t="s">
        <v>346</v>
      </c>
      <c r="E164" s="7">
        <v>32.799999999999997</v>
      </c>
      <c r="F164" s="7">
        <v>31.2</v>
      </c>
      <c r="G164" s="7">
        <v>31.2</v>
      </c>
      <c r="H164" s="7">
        <v>31.2</v>
      </c>
      <c r="I164" s="7">
        <v>31.2</v>
      </c>
      <c r="J164" s="7">
        <v>140400</v>
      </c>
      <c r="K164" s="7">
        <v>4500</v>
      </c>
      <c r="L164" s="7">
        <v>87.15</v>
      </c>
      <c r="M164" s="7">
        <v>25.3</v>
      </c>
      <c r="N164" s="8">
        <f t="shared" si="0"/>
        <v>31.52</v>
      </c>
    </row>
    <row r="165" spans="1:14" ht="15">
      <c r="A165" s="6" t="s">
        <v>17</v>
      </c>
      <c r="B165" s="6" t="s">
        <v>18</v>
      </c>
      <c r="C165" s="6" t="s">
        <v>347</v>
      </c>
      <c r="D165" s="6" t="s">
        <v>348</v>
      </c>
      <c r="E165" s="7">
        <v>196</v>
      </c>
      <c r="F165" s="7">
        <v>191</v>
      </c>
      <c r="G165" s="7">
        <v>199</v>
      </c>
      <c r="H165" s="7">
        <v>191</v>
      </c>
      <c r="I165" s="7">
        <v>199</v>
      </c>
      <c r="J165" s="7">
        <v>390000</v>
      </c>
      <c r="K165" s="7">
        <v>2000</v>
      </c>
      <c r="L165" s="7">
        <v>221</v>
      </c>
      <c r="M165" s="7">
        <v>119.2</v>
      </c>
      <c r="N165" s="8">
        <f t="shared" si="0"/>
        <v>195.2</v>
      </c>
    </row>
    <row r="166" spans="1:14" ht="15">
      <c r="A166" s="6" t="s">
        <v>17</v>
      </c>
      <c r="B166" s="6" t="s">
        <v>18</v>
      </c>
      <c r="C166" s="6" t="s">
        <v>349</v>
      </c>
      <c r="D166" s="6" t="s">
        <v>350</v>
      </c>
      <c r="E166" s="7">
        <v>18.75</v>
      </c>
      <c r="F166" s="7">
        <v>18.75</v>
      </c>
      <c r="G166" s="7">
        <v>18.75</v>
      </c>
      <c r="H166" s="7">
        <v>18.149999999999999</v>
      </c>
      <c r="I166" s="7">
        <v>18.149999999999999</v>
      </c>
      <c r="J166" s="7">
        <v>296800</v>
      </c>
      <c r="K166" s="7">
        <v>16000</v>
      </c>
      <c r="L166" s="7">
        <v>56.65</v>
      </c>
      <c r="M166" s="7">
        <v>17.05</v>
      </c>
      <c r="N166" s="8">
        <f t="shared" si="0"/>
        <v>18.509999999999998</v>
      </c>
    </row>
    <row r="167" spans="1:14" ht="15">
      <c r="A167" s="6" t="s">
        <v>17</v>
      </c>
      <c r="B167" s="6" t="s">
        <v>18</v>
      </c>
      <c r="C167" s="6" t="s">
        <v>351</v>
      </c>
      <c r="D167" s="6" t="s">
        <v>352</v>
      </c>
      <c r="E167" s="7">
        <v>75.3</v>
      </c>
      <c r="F167" s="7">
        <v>76.95</v>
      </c>
      <c r="G167" s="7">
        <v>76.95</v>
      </c>
      <c r="H167" s="7">
        <v>73</v>
      </c>
      <c r="I167" s="7">
        <v>74.8</v>
      </c>
      <c r="J167" s="7">
        <v>2552900</v>
      </c>
      <c r="K167" s="7">
        <v>34000</v>
      </c>
      <c r="L167" s="7">
        <v>211.95</v>
      </c>
      <c r="M167" s="7">
        <v>72.55</v>
      </c>
      <c r="N167" s="8">
        <f t="shared" si="0"/>
        <v>75.400000000000006</v>
      </c>
    </row>
    <row r="168" spans="1:14" ht="15">
      <c r="A168" s="6" t="s">
        <v>17</v>
      </c>
      <c r="B168" s="6" t="s">
        <v>18</v>
      </c>
      <c r="C168" s="6" t="s">
        <v>353</v>
      </c>
      <c r="D168" s="6" t="s">
        <v>354</v>
      </c>
      <c r="E168" s="7">
        <v>58</v>
      </c>
      <c r="F168" s="7">
        <v>57.5</v>
      </c>
      <c r="G168" s="7">
        <v>58</v>
      </c>
      <c r="H168" s="7">
        <v>57.5</v>
      </c>
      <c r="I168" s="7">
        <v>58</v>
      </c>
      <c r="J168" s="7">
        <v>277200</v>
      </c>
      <c r="K168" s="7">
        <v>4800</v>
      </c>
      <c r="L168" s="7">
        <v>78.25</v>
      </c>
      <c r="M168" s="7">
        <v>42.4</v>
      </c>
      <c r="N168" s="8">
        <f t="shared" si="0"/>
        <v>57.8</v>
      </c>
    </row>
    <row r="169" spans="1:14" ht="15">
      <c r="A169" s="6" t="s">
        <v>17</v>
      </c>
      <c r="B169" s="6" t="s">
        <v>18</v>
      </c>
      <c r="C169" s="6" t="s">
        <v>355</v>
      </c>
      <c r="D169" s="6" t="s">
        <v>356</v>
      </c>
      <c r="E169" s="7">
        <v>219.7</v>
      </c>
      <c r="F169" s="7">
        <v>218.5</v>
      </c>
      <c r="G169" s="7">
        <v>218.5</v>
      </c>
      <c r="H169" s="7">
        <v>216.3</v>
      </c>
      <c r="I169" s="7">
        <v>216.3</v>
      </c>
      <c r="J169" s="7">
        <v>217400</v>
      </c>
      <c r="K169" s="7">
        <v>1000</v>
      </c>
      <c r="L169" s="7">
        <v>337</v>
      </c>
      <c r="M169" s="7">
        <v>210</v>
      </c>
      <c r="N169" s="8">
        <f t="shared" si="0"/>
        <v>217.85999999999999</v>
      </c>
    </row>
    <row r="170" spans="1:14" ht="15">
      <c r="A170" s="6" t="s">
        <v>17</v>
      </c>
      <c r="B170" s="6" t="s">
        <v>18</v>
      </c>
      <c r="C170" s="6" t="s">
        <v>357</v>
      </c>
      <c r="D170" s="6" t="s">
        <v>358</v>
      </c>
      <c r="E170" s="7">
        <v>207.2</v>
      </c>
      <c r="F170" s="7">
        <v>210</v>
      </c>
      <c r="G170" s="7">
        <v>225</v>
      </c>
      <c r="H170" s="7">
        <v>207.5</v>
      </c>
      <c r="I170" s="7">
        <v>217.05</v>
      </c>
      <c r="J170" s="7">
        <v>5454930</v>
      </c>
      <c r="K170" s="7">
        <v>25200</v>
      </c>
      <c r="L170" s="7">
        <v>261.95</v>
      </c>
      <c r="M170" s="7">
        <v>120</v>
      </c>
      <c r="N170" s="8">
        <f t="shared" si="0"/>
        <v>213.35</v>
      </c>
    </row>
    <row r="171" spans="1:14" ht="15">
      <c r="A171" s="6" t="s">
        <v>17</v>
      </c>
      <c r="B171" s="6" t="s">
        <v>18</v>
      </c>
      <c r="C171" s="6" t="s">
        <v>359</v>
      </c>
      <c r="D171" s="6" t="s">
        <v>360</v>
      </c>
      <c r="E171" s="7">
        <v>360.7</v>
      </c>
      <c r="F171" s="7">
        <v>360</v>
      </c>
      <c r="G171" s="7">
        <v>374</v>
      </c>
      <c r="H171" s="7">
        <v>356</v>
      </c>
      <c r="I171" s="7">
        <v>356.3</v>
      </c>
      <c r="J171" s="7">
        <v>2589180</v>
      </c>
      <c r="K171" s="7">
        <v>7200</v>
      </c>
      <c r="L171" s="7">
        <v>575</v>
      </c>
      <c r="M171" s="7">
        <v>325.5</v>
      </c>
      <c r="N171" s="8">
        <f t="shared" si="0"/>
        <v>361.4</v>
      </c>
    </row>
    <row r="172" spans="1:14" ht="15">
      <c r="A172" s="6" t="s">
        <v>17</v>
      </c>
      <c r="B172" s="6" t="s">
        <v>18</v>
      </c>
      <c r="C172" s="6" t="s">
        <v>361</v>
      </c>
      <c r="D172" s="6" t="s">
        <v>362</v>
      </c>
      <c r="E172" s="7">
        <v>81</v>
      </c>
      <c r="F172" s="7">
        <v>80</v>
      </c>
      <c r="G172" s="7">
        <v>80</v>
      </c>
      <c r="H172" s="7">
        <v>75.599999999999994</v>
      </c>
      <c r="I172" s="7">
        <v>78</v>
      </c>
      <c r="J172" s="7">
        <v>371880</v>
      </c>
      <c r="K172" s="7">
        <v>4800</v>
      </c>
      <c r="L172" s="7">
        <v>216</v>
      </c>
      <c r="M172" s="7">
        <v>75.099999999999994</v>
      </c>
      <c r="N172" s="8">
        <f t="shared" si="0"/>
        <v>78.92</v>
      </c>
    </row>
    <row r="173" spans="1:14" ht="15">
      <c r="A173" s="6" t="s">
        <v>17</v>
      </c>
      <c r="B173" s="6" t="s">
        <v>35</v>
      </c>
      <c r="C173" s="6" t="s">
        <v>363</v>
      </c>
      <c r="D173" s="6" t="s">
        <v>364</v>
      </c>
      <c r="E173" s="7">
        <v>81.7</v>
      </c>
      <c r="F173" s="7">
        <v>80.099999999999994</v>
      </c>
      <c r="G173" s="7">
        <v>80.2</v>
      </c>
      <c r="H173" s="7">
        <v>80.099999999999994</v>
      </c>
      <c r="I173" s="7">
        <v>80.2</v>
      </c>
      <c r="J173" s="7">
        <v>50473.5</v>
      </c>
      <c r="K173" s="7">
        <v>630</v>
      </c>
      <c r="L173" s="7">
        <v>152.4</v>
      </c>
      <c r="M173" s="7">
        <v>27.7</v>
      </c>
      <c r="N173" s="8">
        <f t="shared" si="0"/>
        <v>80.460000000000008</v>
      </c>
    </row>
    <row r="174" spans="1:14" ht="15">
      <c r="A174" s="6" t="s">
        <v>17</v>
      </c>
      <c r="B174" s="6" t="s">
        <v>18</v>
      </c>
      <c r="C174" s="6" t="s">
        <v>365</v>
      </c>
      <c r="D174" s="6" t="s">
        <v>366</v>
      </c>
      <c r="E174" s="7">
        <v>9.85</v>
      </c>
      <c r="F174" s="7">
        <v>9.85</v>
      </c>
      <c r="G174" s="7">
        <v>10.9</v>
      </c>
      <c r="H174" s="7">
        <v>9.85</v>
      </c>
      <c r="I174" s="7">
        <v>10.3</v>
      </c>
      <c r="J174" s="7">
        <v>182300</v>
      </c>
      <c r="K174" s="7">
        <v>18000</v>
      </c>
      <c r="L174" s="7">
        <v>28.25</v>
      </c>
      <c r="M174" s="7">
        <v>9.5</v>
      </c>
      <c r="N174" s="8">
        <f t="shared" si="0"/>
        <v>10.150000000000002</v>
      </c>
    </row>
    <row r="175" spans="1:14" ht="15">
      <c r="A175" s="6" t="s">
        <v>17</v>
      </c>
      <c r="B175" s="6" t="s">
        <v>18</v>
      </c>
      <c r="C175" s="6" t="s">
        <v>367</v>
      </c>
      <c r="D175" s="6" t="s">
        <v>368</v>
      </c>
      <c r="E175" s="7">
        <v>273.89999999999998</v>
      </c>
      <c r="F175" s="7">
        <v>260</v>
      </c>
      <c r="G175" s="7">
        <v>279</v>
      </c>
      <c r="H175" s="7">
        <v>260</v>
      </c>
      <c r="I175" s="7">
        <v>279</v>
      </c>
      <c r="J175" s="7">
        <v>269500</v>
      </c>
      <c r="K175" s="7">
        <v>1000</v>
      </c>
      <c r="L175" s="7">
        <v>398</v>
      </c>
      <c r="M175" s="7">
        <v>240.05</v>
      </c>
      <c r="N175" s="8">
        <f t="shared" si="0"/>
        <v>270.38</v>
      </c>
    </row>
    <row r="176" spans="1:14" ht="15">
      <c r="A176" s="6" t="s">
        <v>17</v>
      </c>
      <c r="B176" s="6" t="s">
        <v>18</v>
      </c>
      <c r="C176" s="6" t="s">
        <v>369</v>
      </c>
      <c r="D176" s="6" t="s">
        <v>370</v>
      </c>
      <c r="E176" s="7">
        <v>207</v>
      </c>
      <c r="F176" s="7">
        <v>182.6</v>
      </c>
      <c r="G176" s="7">
        <v>199</v>
      </c>
      <c r="H176" s="7">
        <v>182.6</v>
      </c>
      <c r="I176" s="7">
        <v>194.45</v>
      </c>
      <c r="J176" s="7">
        <v>3591930</v>
      </c>
      <c r="K176" s="7">
        <v>18600</v>
      </c>
      <c r="L176" s="7">
        <v>689</v>
      </c>
      <c r="M176" s="7">
        <v>182.6</v>
      </c>
      <c r="N176" s="8">
        <f t="shared" si="0"/>
        <v>193.13000000000002</v>
      </c>
    </row>
    <row r="177" spans="1:14" ht="15">
      <c r="A177" s="6" t="s">
        <v>17</v>
      </c>
      <c r="B177" s="6" t="s">
        <v>18</v>
      </c>
      <c r="C177" s="6" t="s">
        <v>371</v>
      </c>
      <c r="D177" s="6" t="s">
        <v>372</v>
      </c>
      <c r="E177" s="7">
        <v>63</v>
      </c>
      <c r="F177" s="7">
        <v>61.1</v>
      </c>
      <c r="G177" s="7">
        <v>64.45</v>
      </c>
      <c r="H177" s="7">
        <v>61.1</v>
      </c>
      <c r="I177" s="7">
        <v>64.45</v>
      </c>
      <c r="J177" s="7">
        <v>401280</v>
      </c>
      <c r="K177" s="7">
        <v>6400</v>
      </c>
      <c r="L177" s="7">
        <v>105</v>
      </c>
      <c r="M177" s="7">
        <v>60.6</v>
      </c>
      <c r="N177" s="8">
        <f t="shared" si="0"/>
        <v>62.820000000000007</v>
      </c>
    </row>
    <row r="178" spans="1:14" ht="15">
      <c r="A178" s="6" t="s">
        <v>17</v>
      </c>
      <c r="B178" s="6" t="s">
        <v>18</v>
      </c>
      <c r="C178" s="6" t="s">
        <v>373</v>
      </c>
      <c r="D178" s="6" t="s">
        <v>374</v>
      </c>
      <c r="E178" s="7">
        <v>0.7</v>
      </c>
      <c r="F178" s="7">
        <v>0.7</v>
      </c>
      <c r="G178" s="7">
        <v>0.7</v>
      </c>
      <c r="H178" s="7">
        <v>0.65</v>
      </c>
      <c r="I178" s="7">
        <v>0.65</v>
      </c>
      <c r="J178" s="7">
        <v>129600</v>
      </c>
      <c r="K178" s="7">
        <v>192000</v>
      </c>
      <c r="L178" s="7">
        <v>1.8</v>
      </c>
      <c r="M178" s="7">
        <v>0.65</v>
      </c>
      <c r="N178" s="8">
        <f t="shared" si="0"/>
        <v>0.67999999999999994</v>
      </c>
    </row>
    <row r="179" spans="1:14" ht="15">
      <c r="A179" s="6" t="s">
        <v>17</v>
      </c>
      <c r="B179" s="6" t="s">
        <v>18</v>
      </c>
      <c r="C179" s="6" t="s">
        <v>375</v>
      </c>
      <c r="D179" s="6" t="s">
        <v>376</v>
      </c>
      <c r="E179" s="7">
        <v>25.4</v>
      </c>
      <c r="F179" s="7">
        <v>24.05</v>
      </c>
      <c r="G179" s="7">
        <v>25</v>
      </c>
      <c r="H179" s="7">
        <v>24.05</v>
      </c>
      <c r="I179" s="7">
        <v>24.1</v>
      </c>
      <c r="J179" s="7">
        <v>194500</v>
      </c>
      <c r="K179" s="7">
        <v>8000</v>
      </c>
      <c r="L179" s="7">
        <v>42.3</v>
      </c>
      <c r="M179" s="7">
        <v>24.05</v>
      </c>
      <c r="N179" s="8">
        <f t="shared" si="0"/>
        <v>24.52</v>
      </c>
    </row>
    <row r="180" spans="1:14" ht="15">
      <c r="A180" s="6" t="s">
        <v>17</v>
      </c>
      <c r="B180" s="6" t="s">
        <v>35</v>
      </c>
      <c r="C180" s="6" t="s">
        <v>377</v>
      </c>
      <c r="D180" s="6" t="s">
        <v>378</v>
      </c>
      <c r="E180" s="7">
        <v>198</v>
      </c>
      <c r="F180" s="7">
        <v>195.25</v>
      </c>
      <c r="G180" s="7">
        <v>201.9</v>
      </c>
      <c r="H180" s="7">
        <v>195.25</v>
      </c>
      <c r="I180" s="7">
        <v>201.9</v>
      </c>
      <c r="J180" s="7">
        <v>1416480</v>
      </c>
      <c r="K180" s="7">
        <v>7200</v>
      </c>
      <c r="L180" s="7">
        <v>243.9</v>
      </c>
      <c r="M180" s="7">
        <v>70.05</v>
      </c>
      <c r="N180" s="8">
        <f t="shared" si="0"/>
        <v>198.45999999999998</v>
      </c>
    </row>
    <row r="181" spans="1:14" ht="15">
      <c r="A181" s="6" t="s">
        <v>17</v>
      </c>
      <c r="B181" s="6" t="s">
        <v>18</v>
      </c>
      <c r="C181" s="6" t="s">
        <v>379</v>
      </c>
      <c r="D181" s="6" t="s">
        <v>380</v>
      </c>
      <c r="E181" s="7">
        <v>118.9</v>
      </c>
      <c r="F181" s="7">
        <v>118.85</v>
      </c>
      <c r="G181" s="7">
        <v>118.85</v>
      </c>
      <c r="H181" s="7">
        <v>118.85</v>
      </c>
      <c r="I181" s="7">
        <v>118.85</v>
      </c>
      <c r="J181" s="7">
        <v>142620</v>
      </c>
      <c r="K181" s="7">
        <v>1200</v>
      </c>
      <c r="L181" s="7">
        <v>153.1</v>
      </c>
      <c r="M181" s="7">
        <v>60.6</v>
      </c>
      <c r="N181" s="8">
        <f t="shared" si="0"/>
        <v>118.85999999999999</v>
      </c>
    </row>
    <row r="182" spans="1:14" ht="15">
      <c r="A182" s="6" t="s">
        <v>17</v>
      </c>
      <c r="B182" s="6" t="s">
        <v>35</v>
      </c>
      <c r="C182" s="6" t="s">
        <v>381</v>
      </c>
      <c r="D182" s="6" t="s">
        <v>382</v>
      </c>
      <c r="E182" s="7">
        <v>3.55</v>
      </c>
      <c r="F182" s="7">
        <v>3.55</v>
      </c>
      <c r="G182" s="7">
        <v>3.55</v>
      </c>
      <c r="H182" s="7">
        <v>3.55</v>
      </c>
      <c r="I182" s="7">
        <v>3.55</v>
      </c>
      <c r="J182" s="7">
        <v>10650</v>
      </c>
      <c r="K182" s="7">
        <v>3000</v>
      </c>
      <c r="L182" s="7">
        <v>14.6</v>
      </c>
      <c r="M182" s="7">
        <v>2.5</v>
      </c>
      <c r="N182" s="8">
        <f t="shared" si="0"/>
        <v>3.55</v>
      </c>
    </row>
    <row r="183" spans="1:14" ht="15">
      <c r="A183" s="6" t="s">
        <v>17</v>
      </c>
      <c r="B183" s="6" t="s">
        <v>18</v>
      </c>
      <c r="C183" s="6" t="s">
        <v>383</v>
      </c>
      <c r="D183" s="6" t="s">
        <v>384</v>
      </c>
      <c r="E183" s="7">
        <v>88</v>
      </c>
      <c r="F183" s="7">
        <v>86.5</v>
      </c>
      <c r="G183" s="7">
        <v>88</v>
      </c>
      <c r="H183" s="7">
        <v>80.849999999999994</v>
      </c>
      <c r="I183" s="7">
        <v>83.15</v>
      </c>
      <c r="J183" s="7">
        <v>3206050</v>
      </c>
      <c r="K183" s="7">
        <v>37500</v>
      </c>
      <c r="L183" s="7">
        <v>318.14999999999998</v>
      </c>
      <c r="M183" s="7">
        <v>80.849999999999994</v>
      </c>
      <c r="N183" s="8">
        <f t="shared" si="0"/>
        <v>85.3</v>
      </c>
    </row>
    <row r="184" spans="1:14" ht="15">
      <c r="A184" s="6" t="s">
        <v>17</v>
      </c>
      <c r="B184" s="6" t="s">
        <v>35</v>
      </c>
      <c r="C184" s="6" t="s">
        <v>385</v>
      </c>
      <c r="D184" s="6" t="s">
        <v>386</v>
      </c>
      <c r="E184" s="7">
        <v>128</v>
      </c>
      <c r="F184" s="7">
        <v>128.1</v>
      </c>
      <c r="G184" s="7">
        <v>129.75</v>
      </c>
      <c r="H184" s="7">
        <v>128.1</v>
      </c>
      <c r="I184" s="7">
        <v>129.75</v>
      </c>
      <c r="J184" s="7">
        <v>96900</v>
      </c>
      <c r="K184" s="7">
        <v>750</v>
      </c>
      <c r="L184" s="7">
        <v>336</v>
      </c>
      <c r="M184" s="7">
        <v>110.2</v>
      </c>
      <c r="N184" s="8">
        <f t="shared" si="0"/>
        <v>128.74</v>
      </c>
    </row>
    <row r="185" spans="1:14" ht="15">
      <c r="A185" s="6" t="s">
        <v>17</v>
      </c>
      <c r="B185" s="6" t="s">
        <v>18</v>
      </c>
      <c r="C185" s="6" t="s">
        <v>387</v>
      </c>
      <c r="D185" s="6" t="s">
        <v>388</v>
      </c>
      <c r="E185" s="7">
        <v>136</v>
      </c>
      <c r="F185" s="7">
        <v>142</v>
      </c>
      <c r="G185" s="7">
        <v>144.94999999999999</v>
      </c>
      <c r="H185" s="7">
        <v>141.05000000000001</v>
      </c>
      <c r="I185" s="7">
        <v>144.94999999999999</v>
      </c>
      <c r="J185" s="7">
        <v>4564550</v>
      </c>
      <c r="K185" s="7">
        <v>32000</v>
      </c>
      <c r="L185" s="7">
        <v>183</v>
      </c>
      <c r="M185" s="7">
        <v>106.35</v>
      </c>
      <c r="N185" s="8">
        <f t="shared" si="0"/>
        <v>141.79000000000002</v>
      </c>
    </row>
    <row r="186" spans="1:14" ht="15">
      <c r="A186" s="6" t="s">
        <v>17</v>
      </c>
      <c r="B186" s="6" t="s">
        <v>18</v>
      </c>
      <c r="C186" s="6" t="s">
        <v>389</v>
      </c>
      <c r="D186" s="6" t="s">
        <v>390</v>
      </c>
      <c r="E186" s="7">
        <v>46.5</v>
      </c>
      <c r="F186" s="7">
        <v>45.05</v>
      </c>
      <c r="G186" s="7">
        <v>45.05</v>
      </c>
      <c r="H186" s="7">
        <v>43.55</v>
      </c>
      <c r="I186" s="7">
        <v>44.5</v>
      </c>
      <c r="J186" s="7">
        <v>981900</v>
      </c>
      <c r="K186" s="7">
        <v>22000</v>
      </c>
      <c r="L186" s="7">
        <v>74.5</v>
      </c>
      <c r="M186" s="7">
        <v>31</v>
      </c>
      <c r="N186" s="8">
        <f t="shared" si="0"/>
        <v>44.929999999999993</v>
      </c>
    </row>
    <row r="187" spans="1:14" ht="15">
      <c r="A187" s="6" t="s">
        <v>17</v>
      </c>
      <c r="B187" s="6" t="s">
        <v>18</v>
      </c>
      <c r="C187" s="6" t="s">
        <v>391</v>
      </c>
      <c r="D187" s="6" t="s">
        <v>392</v>
      </c>
      <c r="E187" s="7">
        <v>10.050000000000001</v>
      </c>
      <c r="F187" s="7">
        <v>10.15</v>
      </c>
      <c r="G187" s="7">
        <v>10.45</v>
      </c>
      <c r="H187" s="7">
        <v>10.15</v>
      </c>
      <c r="I187" s="7">
        <v>10.45</v>
      </c>
      <c r="J187" s="7">
        <v>1179300</v>
      </c>
      <c r="K187" s="7">
        <v>114000</v>
      </c>
      <c r="L187" s="7">
        <v>22.7</v>
      </c>
      <c r="M187" s="7">
        <v>10</v>
      </c>
      <c r="N187" s="8">
        <f t="shared" si="0"/>
        <v>10.25</v>
      </c>
    </row>
    <row r="188" spans="1:14" ht="15">
      <c r="A188" s="6" t="s">
        <v>17</v>
      </c>
      <c r="B188" s="6" t="s">
        <v>18</v>
      </c>
      <c r="C188" s="6" t="s">
        <v>393</v>
      </c>
      <c r="D188" s="6" t="s">
        <v>394</v>
      </c>
      <c r="E188" s="7">
        <v>44.35</v>
      </c>
      <c r="F188" s="7">
        <v>46</v>
      </c>
      <c r="G188" s="7">
        <v>49.8</v>
      </c>
      <c r="H188" s="7">
        <v>41.8</v>
      </c>
      <c r="I188" s="7">
        <v>42.75</v>
      </c>
      <c r="J188" s="7">
        <v>3754500</v>
      </c>
      <c r="K188" s="7">
        <v>84000</v>
      </c>
      <c r="L188" s="7">
        <v>77.75</v>
      </c>
      <c r="M188" s="7">
        <v>35.450000000000003</v>
      </c>
      <c r="N188" s="8">
        <f t="shared" si="0"/>
        <v>44.94</v>
      </c>
    </row>
    <row r="189" spans="1:14" ht="15">
      <c r="A189" s="6" t="s">
        <v>17</v>
      </c>
      <c r="B189" s="6" t="s">
        <v>18</v>
      </c>
      <c r="C189" s="6" t="s">
        <v>395</v>
      </c>
      <c r="D189" s="6" t="s">
        <v>396</v>
      </c>
      <c r="E189" s="7">
        <v>59.1</v>
      </c>
      <c r="F189" s="7">
        <v>58</v>
      </c>
      <c r="G189" s="7">
        <v>59</v>
      </c>
      <c r="H189" s="7">
        <v>58</v>
      </c>
      <c r="I189" s="7">
        <v>58.15</v>
      </c>
      <c r="J189" s="7">
        <v>629730</v>
      </c>
      <c r="K189" s="7">
        <v>10800</v>
      </c>
      <c r="L189" s="7">
        <v>143.44999999999999</v>
      </c>
      <c r="M189" s="7">
        <v>52.5</v>
      </c>
      <c r="N189" s="8">
        <f t="shared" si="0"/>
        <v>58.45</v>
      </c>
    </row>
    <row r="190" spans="1:14" ht="15">
      <c r="A190" s="6" t="s">
        <v>17</v>
      </c>
      <c r="B190" s="6" t="s">
        <v>18</v>
      </c>
      <c r="C190" s="6" t="s">
        <v>397</v>
      </c>
      <c r="D190" s="6" t="s">
        <v>398</v>
      </c>
      <c r="E190" s="7">
        <v>91.6</v>
      </c>
      <c r="F190" s="7">
        <v>90</v>
      </c>
      <c r="G190" s="7">
        <v>90</v>
      </c>
      <c r="H190" s="7">
        <v>87.2</v>
      </c>
      <c r="I190" s="7">
        <v>87.7</v>
      </c>
      <c r="J190" s="7">
        <v>795000</v>
      </c>
      <c r="K190" s="7">
        <v>9000</v>
      </c>
      <c r="L190" s="7">
        <v>229</v>
      </c>
      <c r="M190" s="7">
        <v>84</v>
      </c>
      <c r="N190" s="8">
        <f t="shared" si="0"/>
        <v>89.3</v>
      </c>
    </row>
    <row r="191" spans="1:14" ht="15">
      <c r="A191" s="6" t="s">
        <v>17</v>
      </c>
      <c r="B191" s="6" t="s">
        <v>18</v>
      </c>
      <c r="C191" s="6" t="s">
        <v>399</v>
      </c>
      <c r="D191" s="6" t="s">
        <v>400</v>
      </c>
      <c r="E191" s="7">
        <v>20.55</v>
      </c>
      <c r="F191" s="7">
        <v>19.55</v>
      </c>
      <c r="G191" s="7">
        <v>20</v>
      </c>
      <c r="H191" s="7">
        <v>19.55</v>
      </c>
      <c r="I191" s="7">
        <v>19.600000000000001</v>
      </c>
      <c r="J191" s="7">
        <v>196700</v>
      </c>
      <c r="K191" s="7">
        <v>10000</v>
      </c>
      <c r="L191" s="7">
        <v>55</v>
      </c>
      <c r="M191" s="7">
        <v>18.95</v>
      </c>
      <c r="N191" s="8">
        <f t="shared" si="0"/>
        <v>19.849999999999998</v>
      </c>
    </row>
    <row r="192" spans="1:14" ht="15">
      <c r="A192" s="6" t="s">
        <v>17</v>
      </c>
      <c r="B192" s="6" t="s">
        <v>18</v>
      </c>
      <c r="C192" s="6" t="s">
        <v>401</v>
      </c>
      <c r="D192" s="6" t="s">
        <v>402</v>
      </c>
      <c r="E192" s="7">
        <v>150.80000000000001</v>
      </c>
      <c r="F192" s="7">
        <v>151.94999999999999</v>
      </c>
      <c r="G192" s="7">
        <v>151.94999999999999</v>
      </c>
      <c r="H192" s="7">
        <v>151.94999999999999</v>
      </c>
      <c r="I192" s="7">
        <v>151.94999999999999</v>
      </c>
      <c r="J192" s="7">
        <v>151950</v>
      </c>
      <c r="K192" s="7">
        <v>1000</v>
      </c>
      <c r="L192" s="7">
        <v>160</v>
      </c>
      <c r="M192" s="7">
        <v>46.15</v>
      </c>
      <c r="N192" s="8">
        <f t="shared" si="0"/>
        <v>151.71999999999997</v>
      </c>
    </row>
    <row r="193" spans="1:14" ht="15">
      <c r="A193" s="6" t="s">
        <v>17</v>
      </c>
      <c r="B193" s="6" t="s">
        <v>35</v>
      </c>
      <c r="C193" s="6" t="s">
        <v>403</v>
      </c>
      <c r="D193" s="6" t="s">
        <v>404</v>
      </c>
      <c r="E193" s="7">
        <v>118</v>
      </c>
      <c r="F193" s="7">
        <v>118</v>
      </c>
      <c r="G193" s="7">
        <v>118.05</v>
      </c>
      <c r="H193" s="7">
        <v>117</v>
      </c>
      <c r="I193" s="7">
        <v>117</v>
      </c>
      <c r="J193" s="7">
        <v>1176050</v>
      </c>
      <c r="K193" s="7">
        <v>10000</v>
      </c>
      <c r="L193" s="7">
        <v>973</v>
      </c>
      <c r="M193" s="7">
        <v>112.25</v>
      </c>
      <c r="N193" s="8">
        <f t="shared" si="0"/>
        <v>117.60999999999999</v>
      </c>
    </row>
    <row r="194" spans="1:14" ht="15">
      <c r="A194" s="6" t="s">
        <v>17</v>
      </c>
      <c r="B194" s="6" t="s">
        <v>18</v>
      </c>
      <c r="C194" s="6" t="s">
        <v>405</v>
      </c>
      <c r="D194" s="6" t="s">
        <v>406</v>
      </c>
      <c r="E194" s="7">
        <v>102</v>
      </c>
      <c r="F194" s="7">
        <v>101.3</v>
      </c>
      <c r="G194" s="7">
        <v>102.5</v>
      </c>
      <c r="H194" s="7">
        <v>100</v>
      </c>
      <c r="I194" s="7">
        <v>101.4</v>
      </c>
      <c r="J194" s="7">
        <v>2135940</v>
      </c>
      <c r="K194" s="7">
        <v>21000</v>
      </c>
      <c r="L194" s="7">
        <v>131.75</v>
      </c>
      <c r="M194" s="7">
        <v>85.5</v>
      </c>
      <c r="N194" s="8">
        <f t="shared" si="0"/>
        <v>101.44000000000001</v>
      </c>
    </row>
    <row r="195" spans="1:14" ht="15">
      <c r="A195" s="6" t="s">
        <v>17</v>
      </c>
      <c r="B195" s="6" t="s">
        <v>18</v>
      </c>
      <c r="C195" s="6" t="s">
        <v>407</v>
      </c>
      <c r="D195" s="6" t="s">
        <v>408</v>
      </c>
      <c r="E195" s="7">
        <v>45.95</v>
      </c>
      <c r="F195" s="7">
        <v>43.85</v>
      </c>
      <c r="G195" s="7">
        <v>44.1</v>
      </c>
      <c r="H195" s="7">
        <v>43.85</v>
      </c>
      <c r="I195" s="7">
        <v>44.05</v>
      </c>
      <c r="J195" s="7">
        <v>175960</v>
      </c>
      <c r="K195" s="7">
        <v>4000</v>
      </c>
      <c r="L195" s="7">
        <v>112</v>
      </c>
      <c r="M195" s="7">
        <v>40.6</v>
      </c>
      <c r="N195" s="8">
        <f t="shared" si="0"/>
        <v>44.36</v>
      </c>
    </row>
    <row r="196" spans="1:14" ht="15">
      <c r="A196" s="6" t="s">
        <v>17</v>
      </c>
      <c r="B196" s="6" t="s">
        <v>18</v>
      </c>
      <c r="C196" s="6" t="s">
        <v>409</v>
      </c>
      <c r="D196" s="6" t="s">
        <v>410</v>
      </c>
      <c r="E196" s="7">
        <v>123.75</v>
      </c>
      <c r="F196" s="7">
        <v>123</v>
      </c>
      <c r="G196" s="7">
        <v>123</v>
      </c>
      <c r="H196" s="7">
        <v>116.1</v>
      </c>
      <c r="I196" s="7">
        <v>117.05</v>
      </c>
      <c r="J196" s="7">
        <v>4548825</v>
      </c>
      <c r="K196" s="7">
        <v>38500</v>
      </c>
      <c r="L196" s="7">
        <v>388.05</v>
      </c>
      <c r="M196" s="7">
        <v>112.05</v>
      </c>
      <c r="N196" s="8">
        <f t="shared" si="0"/>
        <v>120.58000000000001</v>
      </c>
    </row>
    <row r="197" spans="1:14" ht="15">
      <c r="A197" s="6" t="s">
        <v>17</v>
      </c>
      <c r="B197" s="6" t="s">
        <v>18</v>
      </c>
      <c r="C197" s="6" t="s">
        <v>411</v>
      </c>
      <c r="D197" s="6" t="s">
        <v>412</v>
      </c>
      <c r="E197" s="7">
        <v>64</v>
      </c>
      <c r="F197" s="7">
        <v>60.8</v>
      </c>
      <c r="G197" s="7">
        <v>61</v>
      </c>
      <c r="H197" s="7">
        <v>60.8</v>
      </c>
      <c r="I197" s="7">
        <v>60.9</v>
      </c>
      <c r="J197" s="7">
        <v>194880</v>
      </c>
      <c r="K197" s="7">
        <v>3200</v>
      </c>
      <c r="L197" s="7">
        <v>156.9</v>
      </c>
      <c r="M197" s="7">
        <v>58</v>
      </c>
      <c r="N197" s="8">
        <f t="shared" si="0"/>
        <v>61.5</v>
      </c>
    </row>
    <row r="198" spans="1:14" ht="15">
      <c r="A198" s="6" t="s">
        <v>17</v>
      </c>
      <c r="B198" s="6" t="s">
        <v>18</v>
      </c>
      <c r="C198" s="6" t="s">
        <v>413</v>
      </c>
      <c r="D198" s="6" t="s">
        <v>414</v>
      </c>
      <c r="E198" s="7">
        <v>22.75</v>
      </c>
      <c r="F198" s="7">
        <v>23.5</v>
      </c>
      <c r="G198" s="7">
        <v>23.5</v>
      </c>
      <c r="H198" s="7">
        <v>18.350000000000001</v>
      </c>
      <c r="I198" s="7">
        <v>19.2</v>
      </c>
      <c r="J198" s="7">
        <v>13846125</v>
      </c>
      <c r="K198" s="7">
        <v>680000</v>
      </c>
      <c r="L198" s="7">
        <v>57.55</v>
      </c>
      <c r="M198" s="7">
        <v>16.8</v>
      </c>
      <c r="N198" s="8">
        <f t="shared" si="0"/>
        <v>21.46</v>
      </c>
    </row>
    <row r="199" spans="1:14" ht="15">
      <c r="A199" s="6" t="s">
        <v>17</v>
      </c>
      <c r="B199" s="6" t="s">
        <v>18</v>
      </c>
      <c r="C199" s="6" t="s">
        <v>415</v>
      </c>
      <c r="D199" s="6" t="s">
        <v>416</v>
      </c>
      <c r="E199" s="7">
        <v>40</v>
      </c>
      <c r="F199" s="7">
        <v>40</v>
      </c>
      <c r="G199" s="7">
        <v>40</v>
      </c>
      <c r="H199" s="7">
        <v>38.950000000000003</v>
      </c>
      <c r="I199" s="7">
        <v>39.049999999999997</v>
      </c>
      <c r="J199" s="7">
        <v>660780</v>
      </c>
      <c r="K199" s="7">
        <v>16800</v>
      </c>
      <c r="L199" s="7">
        <v>85</v>
      </c>
      <c r="M199" s="7">
        <v>35.25</v>
      </c>
      <c r="N199" s="8">
        <f t="shared" si="0"/>
        <v>39.6</v>
      </c>
    </row>
    <row r="200" spans="1:14" ht="15">
      <c r="A200" s="6" t="s">
        <v>17</v>
      </c>
      <c r="B200" s="6" t="s">
        <v>35</v>
      </c>
      <c r="C200" s="6" t="s">
        <v>417</v>
      </c>
      <c r="D200" s="6" t="s">
        <v>418</v>
      </c>
      <c r="E200" s="7">
        <v>723.1</v>
      </c>
      <c r="F200" s="7">
        <v>724</v>
      </c>
      <c r="G200" s="7">
        <v>752</v>
      </c>
      <c r="H200" s="7">
        <v>724</v>
      </c>
      <c r="I200" s="7">
        <v>744.45</v>
      </c>
      <c r="J200" s="7">
        <v>7352355</v>
      </c>
      <c r="K200" s="7">
        <v>9900</v>
      </c>
      <c r="L200" s="7">
        <v>1439</v>
      </c>
      <c r="M200" s="7">
        <v>556.04999999999995</v>
      </c>
      <c r="N200" s="8">
        <f t="shared" si="0"/>
        <v>733.51</v>
      </c>
    </row>
    <row r="201" spans="1:14" ht="15">
      <c r="A201" s="6" t="s">
        <v>17</v>
      </c>
      <c r="B201" s="6" t="s">
        <v>18</v>
      </c>
      <c r="C201" s="6" t="s">
        <v>419</v>
      </c>
      <c r="D201" s="6" t="s">
        <v>420</v>
      </c>
      <c r="E201" s="7">
        <v>43.05</v>
      </c>
      <c r="F201" s="7">
        <v>40</v>
      </c>
      <c r="G201" s="7">
        <v>46.95</v>
      </c>
      <c r="H201" s="7">
        <v>40</v>
      </c>
      <c r="I201" s="7">
        <v>43.25</v>
      </c>
      <c r="J201" s="7">
        <v>307550</v>
      </c>
      <c r="K201" s="7">
        <v>7000</v>
      </c>
      <c r="L201" s="7">
        <v>114.85</v>
      </c>
      <c r="M201" s="7">
        <v>38.5</v>
      </c>
      <c r="N201" s="8">
        <f t="shared" si="0"/>
        <v>42.65</v>
      </c>
    </row>
    <row r="202" spans="1:14" ht="15">
      <c r="A202" s="6" t="s">
        <v>17</v>
      </c>
      <c r="B202" s="6" t="s">
        <v>18</v>
      </c>
      <c r="C202" s="6" t="s">
        <v>421</v>
      </c>
      <c r="D202" s="6" t="s">
        <v>422</v>
      </c>
      <c r="E202" s="7">
        <v>54</v>
      </c>
      <c r="F202" s="7">
        <v>54</v>
      </c>
      <c r="G202" s="7">
        <v>61</v>
      </c>
      <c r="H202" s="7">
        <v>54</v>
      </c>
      <c r="I202" s="7">
        <v>61</v>
      </c>
      <c r="J202" s="7">
        <v>335220</v>
      </c>
      <c r="K202" s="7">
        <v>6000</v>
      </c>
      <c r="L202" s="7">
        <v>124.5</v>
      </c>
      <c r="M202" s="7">
        <v>53.25</v>
      </c>
      <c r="N202" s="8">
        <f t="shared" si="0"/>
        <v>56.8</v>
      </c>
    </row>
    <row r="203" spans="1:14" ht="15">
      <c r="A203" s="6" t="s">
        <v>17</v>
      </c>
      <c r="B203" s="6" t="s">
        <v>35</v>
      </c>
      <c r="C203" s="6" t="s">
        <v>423</v>
      </c>
      <c r="D203" s="6" t="s">
        <v>424</v>
      </c>
      <c r="E203" s="7">
        <v>169.75</v>
      </c>
      <c r="F203" s="7">
        <v>174</v>
      </c>
      <c r="G203" s="7">
        <v>174</v>
      </c>
      <c r="H203" s="7">
        <v>170.5</v>
      </c>
      <c r="I203" s="7">
        <v>171.6</v>
      </c>
      <c r="J203" s="7">
        <v>1425225</v>
      </c>
      <c r="K203" s="7">
        <v>8250</v>
      </c>
      <c r="L203" s="7">
        <v>564.95000000000005</v>
      </c>
      <c r="M203" s="7">
        <v>135.19999999999999</v>
      </c>
      <c r="N203" s="8">
        <f t="shared" si="0"/>
        <v>171.97</v>
      </c>
    </row>
    <row r="204" spans="1:14" ht="15">
      <c r="A204" s="6" t="s">
        <v>17</v>
      </c>
      <c r="B204" s="6" t="s">
        <v>18</v>
      </c>
      <c r="C204" s="6" t="s">
        <v>425</v>
      </c>
      <c r="D204" s="6" t="s">
        <v>426</v>
      </c>
      <c r="E204" s="7">
        <v>197.2</v>
      </c>
      <c r="F204" s="7">
        <v>197</v>
      </c>
      <c r="G204" s="7">
        <v>202.65</v>
      </c>
      <c r="H204" s="7">
        <v>191.2</v>
      </c>
      <c r="I204" s="7">
        <v>191.5</v>
      </c>
      <c r="J204" s="7">
        <v>847420</v>
      </c>
      <c r="K204" s="7">
        <v>4300</v>
      </c>
      <c r="L204" s="7">
        <v>768</v>
      </c>
      <c r="M204" s="7">
        <v>191.2</v>
      </c>
      <c r="N204" s="8">
        <f t="shared" si="0"/>
        <v>195.91</v>
      </c>
    </row>
    <row r="205" spans="1:14" ht="15">
      <c r="A205" s="6" t="s">
        <v>17</v>
      </c>
      <c r="B205" s="6" t="s">
        <v>18</v>
      </c>
      <c r="C205" s="6" t="s">
        <v>427</v>
      </c>
      <c r="D205" s="6" t="s">
        <v>428</v>
      </c>
      <c r="E205" s="7">
        <v>184</v>
      </c>
      <c r="F205" s="7">
        <v>184</v>
      </c>
      <c r="G205" s="7">
        <v>185</v>
      </c>
      <c r="H205" s="7">
        <v>178.55</v>
      </c>
      <c r="I205" s="7">
        <v>178.8</v>
      </c>
      <c r="J205" s="7">
        <v>3774450</v>
      </c>
      <c r="K205" s="7">
        <v>21000</v>
      </c>
      <c r="L205" s="7">
        <v>300</v>
      </c>
      <c r="M205" s="7">
        <v>150</v>
      </c>
      <c r="N205" s="8">
        <f t="shared" si="0"/>
        <v>182.07</v>
      </c>
    </row>
    <row r="206" spans="1:14" ht="15">
      <c r="A206" s="6" t="s">
        <v>17</v>
      </c>
      <c r="B206" s="6" t="s">
        <v>35</v>
      </c>
      <c r="C206" s="6" t="s">
        <v>429</v>
      </c>
      <c r="D206" s="6" t="s">
        <v>430</v>
      </c>
      <c r="E206" s="7">
        <v>135</v>
      </c>
      <c r="F206" s="7">
        <v>172.1</v>
      </c>
      <c r="G206" s="7">
        <v>180.7</v>
      </c>
      <c r="H206" s="7">
        <v>165.15</v>
      </c>
      <c r="I206" s="7">
        <v>180.7</v>
      </c>
      <c r="J206" s="9">
        <v>545000000</v>
      </c>
      <c r="K206" s="7">
        <v>3156000</v>
      </c>
      <c r="L206" s="7">
        <v>180.7</v>
      </c>
      <c r="M206" s="7">
        <v>165.15</v>
      </c>
      <c r="N206" s="8">
        <f t="shared" si="0"/>
        <v>166.72999999999996</v>
      </c>
    </row>
    <row r="207" spans="1:14" ht="15">
      <c r="A207" s="6" t="s">
        <v>17</v>
      </c>
      <c r="B207" s="6" t="s">
        <v>18</v>
      </c>
      <c r="C207" s="6" t="s">
        <v>431</v>
      </c>
      <c r="D207" s="6" t="s">
        <v>432</v>
      </c>
      <c r="E207" s="7">
        <v>94</v>
      </c>
      <c r="F207" s="7">
        <v>91.7</v>
      </c>
      <c r="G207" s="7">
        <v>96</v>
      </c>
      <c r="H207" s="7">
        <v>91.45</v>
      </c>
      <c r="I207" s="7">
        <v>96</v>
      </c>
      <c r="J207" s="7">
        <v>792060</v>
      </c>
      <c r="K207" s="7">
        <v>8400</v>
      </c>
      <c r="L207" s="7">
        <v>148</v>
      </c>
      <c r="M207" s="7">
        <v>81</v>
      </c>
      <c r="N207" s="8">
        <f t="shared" si="0"/>
        <v>93.83</v>
      </c>
    </row>
    <row r="208" spans="1:14" ht="15">
      <c r="A208" s="6" t="s">
        <v>17</v>
      </c>
      <c r="B208" s="6" t="s">
        <v>18</v>
      </c>
      <c r="C208" s="6" t="s">
        <v>433</v>
      </c>
      <c r="D208" s="6" t="s">
        <v>434</v>
      </c>
      <c r="E208" s="7">
        <v>109.85</v>
      </c>
      <c r="F208" s="7">
        <v>109.85</v>
      </c>
      <c r="G208" s="7">
        <v>110.1</v>
      </c>
      <c r="H208" s="7">
        <v>108.05</v>
      </c>
      <c r="I208" s="7">
        <v>108.05</v>
      </c>
      <c r="J208" s="7">
        <v>1932680</v>
      </c>
      <c r="K208" s="7">
        <v>17600</v>
      </c>
      <c r="L208" s="7">
        <v>274</v>
      </c>
      <c r="M208" s="7">
        <v>102.25</v>
      </c>
      <c r="N208" s="8">
        <f t="shared" si="0"/>
        <v>109.17999999999999</v>
      </c>
    </row>
    <row r="209" spans="1:14" ht="15">
      <c r="A209" s="6" t="s">
        <v>17</v>
      </c>
      <c r="B209" s="6" t="s">
        <v>18</v>
      </c>
      <c r="C209" s="6" t="s">
        <v>435</v>
      </c>
      <c r="D209" s="6" t="s">
        <v>436</v>
      </c>
      <c r="E209" s="7">
        <v>29.4</v>
      </c>
      <c r="F209" s="7">
        <v>29.4</v>
      </c>
      <c r="G209" s="7">
        <v>29.4</v>
      </c>
      <c r="H209" s="7">
        <v>29.4</v>
      </c>
      <c r="I209" s="7">
        <v>29.4</v>
      </c>
      <c r="J209" s="7">
        <v>17640</v>
      </c>
      <c r="K209" s="7">
        <v>600</v>
      </c>
      <c r="L209" s="7">
        <v>71.95</v>
      </c>
      <c r="M209" s="7">
        <v>24.5</v>
      </c>
      <c r="N209" s="8">
        <f t="shared" si="0"/>
        <v>29.4</v>
      </c>
    </row>
    <row r="210" spans="1:14" ht="15">
      <c r="A210" s="6" t="s">
        <v>17</v>
      </c>
      <c r="B210" s="6" t="s">
        <v>18</v>
      </c>
      <c r="C210" s="6" t="s">
        <v>437</v>
      </c>
      <c r="D210" s="6" t="s">
        <v>438</v>
      </c>
      <c r="E210" s="7">
        <v>60</v>
      </c>
      <c r="F210" s="7">
        <v>60.85</v>
      </c>
      <c r="G210" s="7">
        <v>61.9</v>
      </c>
      <c r="H210" s="7">
        <v>58.5</v>
      </c>
      <c r="I210" s="7">
        <v>58.55</v>
      </c>
      <c r="J210" s="7">
        <v>479600</v>
      </c>
      <c r="K210" s="7">
        <v>8000</v>
      </c>
      <c r="L210" s="7">
        <v>125.75</v>
      </c>
      <c r="M210" s="7">
        <v>58</v>
      </c>
      <c r="N210" s="8">
        <f t="shared" si="0"/>
        <v>59.96</v>
      </c>
    </row>
    <row r="211" spans="1:14" ht="15">
      <c r="A211" s="6" t="s">
        <v>17</v>
      </c>
      <c r="B211" s="6" t="s">
        <v>18</v>
      </c>
      <c r="C211" s="6" t="s">
        <v>439</v>
      </c>
      <c r="D211" s="6" t="s">
        <v>440</v>
      </c>
      <c r="E211" s="7">
        <v>601.5</v>
      </c>
      <c r="F211" s="7">
        <v>601.54999999999995</v>
      </c>
      <c r="G211" s="7">
        <v>615</v>
      </c>
      <c r="H211" s="7">
        <v>601.5</v>
      </c>
      <c r="I211" s="7">
        <v>608.04999999999995</v>
      </c>
      <c r="J211" s="7">
        <v>6912690</v>
      </c>
      <c r="K211" s="7">
        <v>11400</v>
      </c>
      <c r="L211" s="7">
        <v>819</v>
      </c>
      <c r="M211" s="7">
        <v>32.049999999999997</v>
      </c>
      <c r="N211" s="8">
        <f t="shared" si="0"/>
        <v>605.52</v>
      </c>
    </row>
    <row r="212" spans="1:14" ht="15">
      <c r="A212" s="6" t="s">
        <v>17</v>
      </c>
      <c r="B212" s="6" t="s">
        <v>18</v>
      </c>
      <c r="C212" s="6" t="s">
        <v>441</v>
      </c>
      <c r="D212" s="6" t="s">
        <v>442</v>
      </c>
      <c r="E212" s="7">
        <v>221.45</v>
      </c>
      <c r="F212" s="7">
        <v>220</v>
      </c>
      <c r="G212" s="7">
        <v>227.5</v>
      </c>
      <c r="H212" s="7">
        <v>220</v>
      </c>
      <c r="I212" s="7">
        <v>227.5</v>
      </c>
      <c r="J212" s="7">
        <v>3446160</v>
      </c>
      <c r="K212" s="7">
        <v>15200</v>
      </c>
      <c r="L212" s="7">
        <v>246.95</v>
      </c>
      <c r="M212" s="7">
        <v>150.6</v>
      </c>
      <c r="N212" s="8">
        <f t="shared" si="0"/>
        <v>223.29000000000002</v>
      </c>
    </row>
    <row r="213" spans="1:14" ht="15">
      <c r="A213" s="6" t="s">
        <v>17</v>
      </c>
      <c r="B213" s="6" t="s">
        <v>18</v>
      </c>
      <c r="C213" s="6" t="s">
        <v>443</v>
      </c>
      <c r="D213" s="6" t="s">
        <v>444</v>
      </c>
      <c r="E213" s="7">
        <v>132</v>
      </c>
      <c r="F213" s="7">
        <v>132</v>
      </c>
      <c r="G213" s="7">
        <v>137</v>
      </c>
      <c r="H213" s="7">
        <v>131</v>
      </c>
      <c r="I213" s="7">
        <v>133</v>
      </c>
      <c r="J213" s="7">
        <v>1327000</v>
      </c>
      <c r="K213" s="7">
        <v>10000</v>
      </c>
      <c r="L213" s="7">
        <v>212</v>
      </c>
      <c r="M213" s="7">
        <v>108.6</v>
      </c>
      <c r="N213" s="8">
        <f t="shared" si="0"/>
        <v>133</v>
      </c>
    </row>
    <row r="214" spans="1:14" ht="15">
      <c r="A214" s="6" t="s">
        <v>17</v>
      </c>
      <c r="B214" s="6" t="s">
        <v>18</v>
      </c>
      <c r="C214" s="6" t="s">
        <v>445</v>
      </c>
      <c r="D214" s="6" t="s">
        <v>446</v>
      </c>
      <c r="E214" s="7">
        <v>133.1</v>
      </c>
      <c r="F214" s="7">
        <v>135</v>
      </c>
      <c r="G214" s="7">
        <v>137.80000000000001</v>
      </c>
      <c r="H214" s="7">
        <v>135</v>
      </c>
      <c r="I214" s="7">
        <v>137.80000000000001</v>
      </c>
      <c r="J214" s="7">
        <v>39048600</v>
      </c>
      <c r="K214" s="7">
        <v>288000</v>
      </c>
      <c r="L214" s="7">
        <v>166.1</v>
      </c>
      <c r="M214" s="7">
        <v>75.5</v>
      </c>
      <c r="N214" s="8">
        <f t="shared" si="0"/>
        <v>135.74</v>
      </c>
    </row>
    <row r="215" spans="1:14" ht="15">
      <c r="A215" s="6" t="s">
        <v>17</v>
      </c>
      <c r="B215" s="6" t="s">
        <v>18</v>
      </c>
      <c r="C215" s="6" t="s">
        <v>447</v>
      </c>
      <c r="D215" s="6" t="s">
        <v>448</v>
      </c>
      <c r="E215" s="7">
        <v>55.05</v>
      </c>
      <c r="F215" s="7">
        <v>55.05</v>
      </c>
      <c r="G215" s="7">
        <v>55.05</v>
      </c>
      <c r="H215" s="7">
        <v>54.6</v>
      </c>
      <c r="I215" s="7">
        <v>54.6</v>
      </c>
      <c r="J215" s="7">
        <v>175440</v>
      </c>
      <c r="K215" s="7">
        <v>3200</v>
      </c>
      <c r="L215" s="7">
        <v>82</v>
      </c>
      <c r="M215" s="7">
        <v>49.15</v>
      </c>
      <c r="N215" s="8">
        <f t="shared" si="0"/>
        <v>54.86999999999999</v>
      </c>
    </row>
    <row r="216" spans="1:14" ht="15">
      <c r="A216" s="6" t="s">
        <v>17</v>
      </c>
      <c r="B216" s="6" t="s">
        <v>18</v>
      </c>
      <c r="C216" s="6" t="s">
        <v>449</v>
      </c>
      <c r="D216" s="6" t="s">
        <v>450</v>
      </c>
      <c r="E216" s="7">
        <v>169.7</v>
      </c>
      <c r="F216" s="7">
        <v>170.05</v>
      </c>
      <c r="G216" s="7">
        <v>180</v>
      </c>
      <c r="H216" s="7">
        <v>170</v>
      </c>
      <c r="I216" s="7">
        <v>179.2</v>
      </c>
      <c r="J216" s="7">
        <v>3563813</v>
      </c>
      <c r="K216" s="7">
        <v>20250</v>
      </c>
      <c r="L216" s="7">
        <v>180</v>
      </c>
      <c r="M216" s="7">
        <v>95.2</v>
      </c>
      <c r="N216" s="8">
        <f t="shared" si="0"/>
        <v>173.79000000000002</v>
      </c>
    </row>
    <row r="217" spans="1:14" ht="15">
      <c r="A217" s="6" t="s">
        <v>17</v>
      </c>
      <c r="B217" s="6" t="s">
        <v>18</v>
      </c>
      <c r="C217" s="6" t="s">
        <v>451</v>
      </c>
      <c r="D217" s="6" t="s">
        <v>452</v>
      </c>
      <c r="E217" s="7">
        <v>214.3</v>
      </c>
      <c r="F217" s="7">
        <v>192.5</v>
      </c>
      <c r="G217" s="7">
        <v>211.95</v>
      </c>
      <c r="H217" s="7">
        <v>192.5</v>
      </c>
      <c r="I217" s="7">
        <v>199.3</v>
      </c>
      <c r="J217" s="7">
        <v>963860</v>
      </c>
      <c r="K217" s="7">
        <v>4800</v>
      </c>
      <c r="L217" s="7">
        <v>329</v>
      </c>
      <c r="M217" s="7">
        <v>192.1</v>
      </c>
      <c r="N217" s="8">
        <f t="shared" si="0"/>
        <v>202.10999999999999</v>
      </c>
    </row>
    <row r="218" spans="1:14" ht="15">
      <c r="A218" s="6" t="s">
        <v>17</v>
      </c>
      <c r="B218" s="6" t="s">
        <v>18</v>
      </c>
      <c r="C218" s="6" t="s">
        <v>453</v>
      </c>
      <c r="D218" s="6" t="s">
        <v>454</v>
      </c>
      <c r="E218" s="7">
        <v>67.05</v>
      </c>
      <c r="F218" s="7">
        <v>68</v>
      </c>
      <c r="G218" s="7">
        <v>68.75</v>
      </c>
      <c r="H218" s="7">
        <v>68</v>
      </c>
      <c r="I218" s="7">
        <v>68.650000000000006</v>
      </c>
      <c r="J218" s="7">
        <v>988560</v>
      </c>
      <c r="K218" s="7">
        <v>14400</v>
      </c>
      <c r="L218" s="7">
        <v>153.9</v>
      </c>
      <c r="M218" s="7">
        <v>62.4</v>
      </c>
      <c r="N218" s="8">
        <f t="shared" si="0"/>
        <v>68.09</v>
      </c>
    </row>
    <row r="219" spans="1:14" ht="15">
      <c r="A219" s="6" t="s">
        <v>17</v>
      </c>
      <c r="B219" s="6" t="s">
        <v>18</v>
      </c>
      <c r="C219" s="6" t="s">
        <v>455</v>
      </c>
      <c r="D219" s="6" t="s">
        <v>456</v>
      </c>
      <c r="E219" s="7">
        <v>20.399999999999999</v>
      </c>
      <c r="F219" s="7">
        <v>20</v>
      </c>
      <c r="G219" s="7">
        <v>20</v>
      </c>
      <c r="H219" s="7">
        <v>20</v>
      </c>
      <c r="I219" s="7">
        <v>20</v>
      </c>
      <c r="J219" s="7">
        <v>40000</v>
      </c>
      <c r="K219" s="7">
        <v>2000</v>
      </c>
      <c r="L219" s="7">
        <v>31.9</v>
      </c>
      <c r="M219" s="7">
        <v>17.8</v>
      </c>
      <c r="N219" s="8">
        <f t="shared" si="0"/>
        <v>20.080000000000002</v>
      </c>
    </row>
    <row r="220" spans="1:14" ht="15">
      <c r="A220" s="6" t="s">
        <v>17</v>
      </c>
      <c r="B220" s="6" t="s">
        <v>18</v>
      </c>
      <c r="C220" s="6" t="s">
        <v>457</v>
      </c>
      <c r="D220" s="6" t="s">
        <v>458</v>
      </c>
      <c r="E220" s="7">
        <v>44.2</v>
      </c>
      <c r="F220" s="7">
        <v>44.2</v>
      </c>
      <c r="G220" s="7">
        <v>44.2</v>
      </c>
      <c r="H220" s="7">
        <v>43.2</v>
      </c>
      <c r="I220" s="7">
        <v>43.7</v>
      </c>
      <c r="J220" s="7">
        <v>210560</v>
      </c>
      <c r="K220" s="7">
        <v>4800</v>
      </c>
      <c r="L220" s="7">
        <v>80.2</v>
      </c>
      <c r="M220" s="7">
        <v>26.25</v>
      </c>
      <c r="N220" s="8">
        <f t="shared" si="0"/>
        <v>43.9</v>
      </c>
    </row>
    <row r="221" spans="1:14" ht="15">
      <c r="A221" s="6" t="s">
        <v>17</v>
      </c>
      <c r="B221" s="6" t="s">
        <v>18</v>
      </c>
      <c r="C221" s="6" t="s">
        <v>459</v>
      </c>
      <c r="D221" s="6" t="s">
        <v>460</v>
      </c>
      <c r="E221" s="7">
        <v>16.05</v>
      </c>
      <c r="F221" s="7">
        <v>16.5</v>
      </c>
      <c r="G221" s="7">
        <v>16.5</v>
      </c>
      <c r="H221" s="7">
        <v>16.5</v>
      </c>
      <c r="I221" s="7">
        <v>16.5</v>
      </c>
      <c r="J221" s="7">
        <v>66000</v>
      </c>
      <c r="K221" s="7">
        <v>4000</v>
      </c>
      <c r="L221" s="7">
        <v>41.5</v>
      </c>
      <c r="M221" s="7">
        <v>16.05</v>
      </c>
      <c r="N221" s="8">
        <f t="shared" si="0"/>
        <v>16.41</v>
      </c>
    </row>
    <row r="222" spans="1:14" ht="15">
      <c r="A222" s="6" t="s">
        <v>17</v>
      </c>
      <c r="B222" s="6" t="s">
        <v>18</v>
      </c>
      <c r="C222" s="6" t="s">
        <v>461</v>
      </c>
      <c r="D222" s="6" t="s">
        <v>462</v>
      </c>
      <c r="E222" s="7">
        <v>48.85</v>
      </c>
      <c r="F222" s="7">
        <v>48.5</v>
      </c>
      <c r="G222" s="7">
        <v>56</v>
      </c>
      <c r="H222" s="7">
        <v>47.8</v>
      </c>
      <c r="I222" s="7">
        <v>55.05</v>
      </c>
      <c r="J222" s="7">
        <v>13627980</v>
      </c>
      <c r="K222" s="7">
        <v>258000</v>
      </c>
      <c r="L222" s="7">
        <v>74.400000000000006</v>
      </c>
      <c r="M222" s="7">
        <v>40.75</v>
      </c>
      <c r="N222" s="8">
        <f t="shared" si="0"/>
        <v>51.240000000000009</v>
      </c>
    </row>
    <row r="223" spans="1:14" ht="15">
      <c r="A223" s="6" t="s">
        <v>17</v>
      </c>
      <c r="B223" s="6" t="s">
        <v>18</v>
      </c>
      <c r="C223" s="6" t="s">
        <v>463</v>
      </c>
      <c r="D223" s="6" t="s">
        <v>464</v>
      </c>
      <c r="E223" s="7">
        <v>30.15</v>
      </c>
      <c r="F223" s="7">
        <v>30.05</v>
      </c>
      <c r="G223" s="7">
        <v>31</v>
      </c>
      <c r="H223" s="7">
        <v>28</v>
      </c>
      <c r="I223" s="7">
        <v>28.5</v>
      </c>
      <c r="J223" s="7">
        <v>1147125</v>
      </c>
      <c r="K223" s="7">
        <v>39000</v>
      </c>
      <c r="L223" s="7">
        <v>57.25</v>
      </c>
      <c r="M223" s="7">
        <v>28</v>
      </c>
      <c r="N223" s="8">
        <f t="shared" si="0"/>
        <v>29.54</v>
      </c>
    </row>
    <row r="224" spans="1:14" ht="15">
      <c r="A224" s="6" t="s">
        <v>17</v>
      </c>
      <c r="B224" s="6" t="s">
        <v>35</v>
      </c>
      <c r="C224" s="6" t="s">
        <v>465</v>
      </c>
      <c r="D224" s="6" t="s">
        <v>466</v>
      </c>
      <c r="E224" s="7">
        <v>14.95</v>
      </c>
      <c r="F224" s="7">
        <v>15.65</v>
      </c>
      <c r="G224" s="7">
        <v>15.65</v>
      </c>
      <c r="H224" s="7">
        <v>15.65</v>
      </c>
      <c r="I224" s="7">
        <v>15.65</v>
      </c>
      <c r="J224" s="7">
        <v>125200</v>
      </c>
      <c r="K224" s="7">
        <v>8000</v>
      </c>
      <c r="L224" s="7">
        <v>28.2</v>
      </c>
      <c r="M224" s="7">
        <v>13.3</v>
      </c>
      <c r="N224" s="8">
        <f t="shared" si="0"/>
        <v>15.51</v>
      </c>
    </row>
    <row r="225" spans="1:14" ht="15">
      <c r="A225" s="6" t="s">
        <v>17</v>
      </c>
      <c r="B225" s="6" t="s">
        <v>18</v>
      </c>
      <c r="C225" s="6" t="s">
        <v>467</v>
      </c>
      <c r="D225" s="6" t="s">
        <v>468</v>
      </c>
      <c r="E225" s="7">
        <v>53.05</v>
      </c>
      <c r="F225" s="7">
        <v>50.05</v>
      </c>
      <c r="G225" s="7">
        <v>50.05</v>
      </c>
      <c r="H225" s="7">
        <v>50</v>
      </c>
      <c r="I225" s="7">
        <v>50</v>
      </c>
      <c r="J225" s="7">
        <v>850200</v>
      </c>
      <c r="K225" s="7">
        <v>17000</v>
      </c>
      <c r="L225" s="7">
        <v>124.5</v>
      </c>
      <c r="M225" s="7">
        <v>50</v>
      </c>
      <c r="N225" s="8">
        <f t="shared" si="0"/>
        <v>50.629999999999995</v>
      </c>
    </row>
    <row r="226" spans="1:14" ht="15">
      <c r="A226" s="6" t="s">
        <v>17</v>
      </c>
      <c r="B226" s="6" t="s">
        <v>18</v>
      </c>
      <c r="C226" s="6" t="s">
        <v>469</v>
      </c>
      <c r="D226" s="6" t="s">
        <v>470</v>
      </c>
      <c r="E226" s="7">
        <v>168.8</v>
      </c>
      <c r="F226" s="7">
        <v>168.8</v>
      </c>
      <c r="G226" s="7">
        <v>184</v>
      </c>
      <c r="H226" s="7">
        <v>167.5</v>
      </c>
      <c r="I226" s="7">
        <v>179.15</v>
      </c>
      <c r="J226" s="7">
        <v>1476725</v>
      </c>
      <c r="K226" s="7">
        <v>8500</v>
      </c>
      <c r="L226" s="7">
        <v>220</v>
      </c>
      <c r="M226" s="7">
        <v>73.5</v>
      </c>
      <c r="N226" s="8">
        <f t="shared" si="0"/>
        <v>173.65</v>
      </c>
    </row>
    <row r="227" spans="1:14" ht="15">
      <c r="A227" s="6" t="s">
        <v>17</v>
      </c>
      <c r="B227" s="6" t="s">
        <v>18</v>
      </c>
      <c r="C227" s="6" t="s">
        <v>471</v>
      </c>
      <c r="D227" s="6" t="s">
        <v>472</v>
      </c>
      <c r="E227" s="7">
        <v>325</v>
      </c>
      <c r="F227" s="7">
        <v>316.14999999999998</v>
      </c>
      <c r="G227" s="7">
        <v>324.85000000000002</v>
      </c>
      <c r="H227" s="7">
        <v>308.75</v>
      </c>
      <c r="I227" s="7">
        <v>315</v>
      </c>
      <c r="J227" s="7">
        <v>1726975</v>
      </c>
      <c r="K227" s="7">
        <v>5500</v>
      </c>
      <c r="L227" s="7">
        <v>436</v>
      </c>
      <c r="M227" s="7">
        <v>258.39999999999998</v>
      </c>
      <c r="N227" s="8">
        <f t="shared" si="0"/>
        <v>317.95</v>
      </c>
    </row>
    <row r="228" spans="1:14" ht="15">
      <c r="A228" s="6" t="s">
        <v>17</v>
      </c>
      <c r="B228" s="6" t="s">
        <v>18</v>
      </c>
      <c r="C228" s="6" t="s">
        <v>473</v>
      </c>
      <c r="D228" s="6" t="s">
        <v>474</v>
      </c>
      <c r="E228" s="7">
        <v>87</v>
      </c>
      <c r="F228" s="7">
        <v>80.099999999999994</v>
      </c>
      <c r="G228" s="7">
        <v>87</v>
      </c>
      <c r="H228" s="7">
        <v>80.099999999999994</v>
      </c>
      <c r="I228" s="7">
        <v>86.9</v>
      </c>
      <c r="J228" s="7">
        <v>4157880</v>
      </c>
      <c r="K228" s="7">
        <v>51600</v>
      </c>
      <c r="L228" s="7">
        <v>120</v>
      </c>
      <c r="M228" s="7">
        <v>73.55</v>
      </c>
      <c r="N228" s="8">
        <f t="shared" si="0"/>
        <v>84.22</v>
      </c>
    </row>
    <row r="229" spans="1:14" ht="15">
      <c r="A229" s="6" t="s">
        <v>17</v>
      </c>
      <c r="B229" s="6" t="s">
        <v>18</v>
      </c>
      <c r="C229" s="6" t="s">
        <v>475</v>
      </c>
      <c r="D229" s="6" t="s">
        <v>476</v>
      </c>
      <c r="E229" s="7">
        <v>40.049999999999997</v>
      </c>
      <c r="F229" s="7">
        <v>40</v>
      </c>
      <c r="G229" s="7">
        <v>40</v>
      </c>
      <c r="H229" s="7">
        <v>40</v>
      </c>
      <c r="I229" s="7">
        <v>40</v>
      </c>
      <c r="J229" s="7">
        <v>40000</v>
      </c>
      <c r="K229" s="7">
        <v>1000</v>
      </c>
      <c r="L229" s="7">
        <v>89.5</v>
      </c>
      <c r="M229" s="7">
        <v>37.200000000000003</v>
      </c>
      <c r="N229" s="8">
        <f t="shared" si="0"/>
        <v>40.010000000000005</v>
      </c>
    </row>
    <row r="230" spans="1:14" ht="15">
      <c r="A230" s="6" t="s">
        <v>17</v>
      </c>
      <c r="B230" s="6" t="s">
        <v>35</v>
      </c>
      <c r="C230" s="6" t="s">
        <v>477</v>
      </c>
      <c r="D230" s="6" t="s">
        <v>478</v>
      </c>
      <c r="E230" s="7">
        <v>327.60000000000002</v>
      </c>
      <c r="F230" s="7">
        <v>343.55</v>
      </c>
      <c r="G230" s="7">
        <v>343.95</v>
      </c>
      <c r="H230" s="7">
        <v>330</v>
      </c>
      <c r="I230" s="7">
        <v>338</v>
      </c>
      <c r="J230" s="7">
        <v>12847800</v>
      </c>
      <c r="K230" s="7">
        <v>37600</v>
      </c>
      <c r="L230" s="7">
        <v>509</v>
      </c>
      <c r="M230" s="7">
        <v>145.05000000000001</v>
      </c>
      <c r="N230" s="8">
        <f t="shared" si="0"/>
        <v>336.62</v>
      </c>
    </row>
    <row r="231" spans="1:14" ht="15">
      <c r="A231" s="6" t="s">
        <v>17</v>
      </c>
      <c r="B231" s="6" t="s">
        <v>35</v>
      </c>
      <c r="C231" s="6" t="s">
        <v>479</v>
      </c>
      <c r="D231" s="6" t="s">
        <v>480</v>
      </c>
      <c r="E231" s="7">
        <v>55.5</v>
      </c>
      <c r="F231" s="7">
        <v>55.5</v>
      </c>
      <c r="G231" s="7">
        <v>55.5</v>
      </c>
      <c r="H231" s="7">
        <v>55.45</v>
      </c>
      <c r="I231" s="7">
        <v>55.45</v>
      </c>
      <c r="J231" s="7">
        <v>110950</v>
      </c>
      <c r="K231" s="7">
        <v>2000</v>
      </c>
      <c r="L231" s="7">
        <v>186.6</v>
      </c>
      <c r="M231" s="7">
        <v>53.4</v>
      </c>
      <c r="N231" s="8">
        <f t="shared" si="0"/>
        <v>55.48</v>
      </c>
    </row>
    <row r="232" spans="1:14" ht="15">
      <c r="A232" s="6" t="s">
        <v>17</v>
      </c>
      <c r="B232" s="6" t="s">
        <v>18</v>
      </c>
      <c r="C232" s="6" t="s">
        <v>481</v>
      </c>
      <c r="D232" s="6" t="s">
        <v>482</v>
      </c>
      <c r="E232" s="7">
        <v>24.2</v>
      </c>
      <c r="F232" s="7">
        <v>24.7</v>
      </c>
      <c r="G232" s="7">
        <v>25.4</v>
      </c>
      <c r="H232" s="7">
        <v>23.55</v>
      </c>
      <c r="I232" s="7">
        <v>25.4</v>
      </c>
      <c r="J232" s="7">
        <v>688700</v>
      </c>
      <c r="K232" s="7">
        <v>28000</v>
      </c>
      <c r="L232" s="7">
        <v>49.7</v>
      </c>
      <c r="M232" s="7">
        <v>19.600000000000001</v>
      </c>
      <c r="N232" s="8">
        <f t="shared" si="0"/>
        <v>24.65</v>
      </c>
    </row>
    <row r="233" spans="1:14" ht="15">
      <c r="A233" s="6" t="s">
        <v>17</v>
      </c>
      <c r="B233" s="6" t="s">
        <v>35</v>
      </c>
      <c r="C233" s="6" t="s">
        <v>483</v>
      </c>
      <c r="D233" s="6" t="s">
        <v>484</v>
      </c>
      <c r="E233" s="7">
        <v>101</v>
      </c>
      <c r="F233" s="7">
        <v>105</v>
      </c>
      <c r="G233" s="7">
        <v>106.05</v>
      </c>
      <c r="H233" s="7">
        <v>102</v>
      </c>
      <c r="I233" s="7">
        <v>106.05</v>
      </c>
      <c r="J233" s="7">
        <v>939150</v>
      </c>
      <c r="K233" s="7">
        <v>9000</v>
      </c>
      <c r="L233" s="7">
        <v>127.55</v>
      </c>
      <c r="M233" s="7">
        <v>40</v>
      </c>
      <c r="N233" s="8">
        <f t="shared" si="0"/>
        <v>104.02000000000001</v>
      </c>
    </row>
    <row r="234" spans="1:14" ht="15">
      <c r="A234" s="6" t="s">
        <v>17</v>
      </c>
      <c r="B234" s="6" t="s">
        <v>18</v>
      </c>
      <c r="C234" s="6" t="s">
        <v>485</v>
      </c>
      <c r="D234" s="6" t="s">
        <v>486</v>
      </c>
      <c r="E234" s="7">
        <v>207.45</v>
      </c>
      <c r="F234" s="7">
        <v>205</v>
      </c>
      <c r="G234" s="7">
        <v>207</v>
      </c>
      <c r="H234" s="7">
        <v>201.35</v>
      </c>
      <c r="I234" s="7">
        <v>206.7</v>
      </c>
      <c r="J234" s="7">
        <v>2535180</v>
      </c>
      <c r="K234" s="7">
        <v>12400</v>
      </c>
      <c r="L234" s="7">
        <v>380</v>
      </c>
      <c r="M234" s="7">
        <v>192.55</v>
      </c>
      <c r="N234" s="8">
        <f t="shared" si="0"/>
        <v>205.5</v>
      </c>
    </row>
    <row r="235" spans="1:14" ht="15">
      <c r="A235" s="6" t="s">
        <v>17</v>
      </c>
      <c r="B235" s="6" t="s">
        <v>18</v>
      </c>
      <c r="C235" s="6" t="s">
        <v>487</v>
      </c>
      <c r="D235" s="6" t="s">
        <v>488</v>
      </c>
      <c r="E235" s="7">
        <v>19.7</v>
      </c>
      <c r="F235" s="7">
        <v>18.649999999999999</v>
      </c>
      <c r="G235" s="7">
        <v>19</v>
      </c>
      <c r="H235" s="7">
        <v>18.649999999999999</v>
      </c>
      <c r="I235" s="7">
        <v>19</v>
      </c>
      <c r="J235" s="7">
        <v>119920</v>
      </c>
      <c r="K235" s="7">
        <v>6400</v>
      </c>
      <c r="L235" s="7">
        <v>32</v>
      </c>
      <c r="M235" s="7">
        <v>17.850000000000001</v>
      </c>
      <c r="N235" s="8">
        <f t="shared" si="0"/>
        <v>19</v>
      </c>
    </row>
    <row r="236" spans="1:14" ht="15">
      <c r="A236" s="6" t="s">
        <v>17</v>
      </c>
      <c r="B236" s="6" t="s">
        <v>35</v>
      </c>
      <c r="C236" s="6" t="s">
        <v>489</v>
      </c>
      <c r="D236" s="6" t="s">
        <v>490</v>
      </c>
      <c r="E236" s="7">
        <v>48.85</v>
      </c>
      <c r="F236" s="7">
        <v>51</v>
      </c>
      <c r="G236" s="7">
        <v>51</v>
      </c>
      <c r="H236" s="7">
        <v>51</v>
      </c>
      <c r="I236" s="7">
        <v>51</v>
      </c>
      <c r="J236" s="7">
        <v>1346400</v>
      </c>
      <c r="K236" s="7">
        <v>26400</v>
      </c>
      <c r="L236" s="7">
        <v>51</v>
      </c>
      <c r="M236" s="7">
        <v>24.85</v>
      </c>
      <c r="N236" s="8">
        <f t="shared" si="0"/>
        <v>50.57</v>
      </c>
    </row>
    <row r="237" spans="1:14" ht="15">
      <c r="A237" s="6" t="s">
        <v>17</v>
      </c>
      <c r="B237" s="6" t="s">
        <v>18</v>
      </c>
      <c r="C237" s="6" t="s">
        <v>491</v>
      </c>
      <c r="D237" s="6" t="s">
        <v>492</v>
      </c>
      <c r="E237" s="7">
        <v>36.1</v>
      </c>
      <c r="F237" s="7">
        <v>37</v>
      </c>
      <c r="G237" s="7">
        <v>37</v>
      </c>
      <c r="H237" s="7">
        <v>35.200000000000003</v>
      </c>
      <c r="I237" s="7">
        <v>37</v>
      </c>
      <c r="J237" s="7">
        <v>328875</v>
      </c>
      <c r="K237" s="7">
        <v>9000</v>
      </c>
      <c r="L237" s="7">
        <v>75.5</v>
      </c>
      <c r="M237" s="7">
        <v>35.15</v>
      </c>
      <c r="N237" s="8">
        <f t="shared" si="0"/>
        <v>36.459999999999994</v>
      </c>
    </row>
    <row r="238" spans="1:14" ht="15">
      <c r="A238" s="6" t="s">
        <v>17</v>
      </c>
      <c r="B238" s="6" t="s">
        <v>18</v>
      </c>
      <c r="C238" s="6" t="s">
        <v>493</v>
      </c>
      <c r="D238" s="6" t="s">
        <v>494</v>
      </c>
      <c r="E238" s="7">
        <v>9.9</v>
      </c>
      <c r="F238" s="7">
        <v>9.8000000000000007</v>
      </c>
      <c r="G238" s="7">
        <v>10.35</v>
      </c>
      <c r="H238" s="7">
        <v>9.4499999999999993</v>
      </c>
      <c r="I238" s="7">
        <v>9.4499999999999993</v>
      </c>
      <c r="J238" s="7">
        <v>348300</v>
      </c>
      <c r="K238" s="7">
        <v>36000</v>
      </c>
      <c r="L238" s="7">
        <v>28.9</v>
      </c>
      <c r="M238" s="7">
        <v>9.4499999999999993</v>
      </c>
      <c r="N238" s="8">
        <f t="shared" si="0"/>
        <v>9.7899999999999991</v>
      </c>
    </row>
    <row r="239" spans="1:14" ht="15">
      <c r="A239" s="6" t="s">
        <v>17</v>
      </c>
      <c r="B239" s="6" t="s">
        <v>18</v>
      </c>
      <c r="C239" s="6" t="s">
        <v>495</v>
      </c>
      <c r="D239" s="6" t="s">
        <v>496</v>
      </c>
      <c r="E239" s="7">
        <v>494.95</v>
      </c>
      <c r="F239" s="7">
        <v>480.4</v>
      </c>
      <c r="G239" s="7">
        <v>485</v>
      </c>
      <c r="H239" s="7">
        <v>462.1</v>
      </c>
      <c r="I239" s="7">
        <v>468.5</v>
      </c>
      <c r="J239" s="7">
        <v>7479863</v>
      </c>
      <c r="K239" s="7">
        <v>15750</v>
      </c>
      <c r="L239" s="7">
        <v>607.4</v>
      </c>
      <c r="M239" s="7">
        <v>219.45</v>
      </c>
      <c r="N239" s="8">
        <f t="shared" si="0"/>
        <v>478.18999999999994</v>
      </c>
    </row>
    <row r="240" spans="1:14" ht="15">
      <c r="A240" s="6" t="s">
        <v>17</v>
      </c>
      <c r="B240" s="6" t="s">
        <v>18</v>
      </c>
      <c r="C240" s="6" t="s">
        <v>497</v>
      </c>
      <c r="D240" s="6" t="s">
        <v>498</v>
      </c>
      <c r="E240" s="7">
        <v>21.9</v>
      </c>
      <c r="F240" s="7">
        <v>21.5</v>
      </c>
      <c r="G240" s="7">
        <v>21.5</v>
      </c>
      <c r="H240" s="7">
        <v>21.15</v>
      </c>
      <c r="I240" s="7">
        <v>21.25</v>
      </c>
      <c r="J240" s="7">
        <v>770600</v>
      </c>
      <c r="K240" s="7">
        <v>36000</v>
      </c>
      <c r="L240" s="7">
        <v>301</v>
      </c>
      <c r="M240" s="7">
        <v>21</v>
      </c>
      <c r="N240" s="8">
        <f t="shared" si="0"/>
        <v>21.46</v>
      </c>
    </row>
    <row r="241" spans="1:14" ht="15">
      <c r="A241" s="6" t="s">
        <v>17</v>
      </c>
      <c r="B241" s="6" t="s">
        <v>18</v>
      </c>
      <c r="C241" s="6" t="s">
        <v>499</v>
      </c>
      <c r="D241" s="6" t="s">
        <v>500</v>
      </c>
      <c r="E241" s="7">
        <v>45.5</v>
      </c>
      <c r="F241" s="7">
        <v>43.1</v>
      </c>
      <c r="G241" s="7">
        <v>45.5</v>
      </c>
      <c r="H241" s="7">
        <v>43</v>
      </c>
      <c r="I241" s="7">
        <v>45.5</v>
      </c>
      <c r="J241" s="7">
        <v>528700</v>
      </c>
      <c r="K241" s="7">
        <v>12000</v>
      </c>
      <c r="L241" s="7">
        <v>84.45</v>
      </c>
      <c r="M241" s="7">
        <v>43</v>
      </c>
      <c r="N241" s="8">
        <f t="shared" si="0"/>
        <v>44.519999999999996</v>
      </c>
    </row>
    <row r="242" spans="1:14" ht="15">
      <c r="A242" s="6" t="s">
        <v>17</v>
      </c>
      <c r="B242" s="6" t="s">
        <v>35</v>
      </c>
      <c r="C242" s="6" t="s">
        <v>501</v>
      </c>
      <c r="D242" s="6" t="s">
        <v>502</v>
      </c>
      <c r="E242" s="7">
        <v>83.05</v>
      </c>
      <c r="F242" s="7">
        <v>82</v>
      </c>
      <c r="G242" s="7">
        <v>82</v>
      </c>
      <c r="H242" s="7">
        <v>79.2</v>
      </c>
      <c r="I242" s="7">
        <v>79.2</v>
      </c>
      <c r="J242" s="7">
        <v>515840</v>
      </c>
      <c r="K242" s="7">
        <v>6400</v>
      </c>
      <c r="L242" s="7">
        <v>101.15</v>
      </c>
      <c r="M242" s="7">
        <v>25.5</v>
      </c>
      <c r="N242" s="8">
        <f t="shared" si="0"/>
        <v>81.09</v>
      </c>
    </row>
    <row r="243" spans="1:14" ht="15">
      <c r="A243" s="6" t="s">
        <v>17</v>
      </c>
      <c r="B243" s="6" t="s">
        <v>18</v>
      </c>
      <c r="C243" s="6" t="s">
        <v>503</v>
      </c>
      <c r="D243" s="6" t="s">
        <v>504</v>
      </c>
      <c r="E243" s="7">
        <v>85.05</v>
      </c>
      <c r="F243" s="7">
        <v>82.55</v>
      </c>
      <c r="G243" s="7">
        <v>84.95</v>
      </c>
      <c r="H243" s="7">
        <v>78.349999999999994</v>
      </c>
      <c r="I243" s="7">
        <v>84.9</v>
      </c>
      <c r="J243" s="7">
        <v>3502680</v>
      </c>
      <c r="K243" s="7">
        <v>43200</v>
      </c>
      <c r="L243" s="7">
        <v>143</v>
      </c>
      <c r="M243" s="7">
        <v>72</v>
      </c>
      <c r="N243" s="8">
        <f t="shared" si="0"/>
        <v>83.16</v>
      </c>
    </row>
    <row r="244" spans="1:14" ht="15">
      <c r="A244" s="6" t="s">
        <v>17</v>
      </c>
      <c r="B244" s="6" t="s">
        <v>18</v>
      </c>
      <c r="C244" s="6" t="s">
        <v>505</v>
      </c>
      <c r="D244" s="6" t="s">
        <v>506</v>
      </c>
      <c r="E244" s="7">
        <v>81.5</v>
      </c>
      <c r="F244" s="7">
        <v>81</v>
      </c>
      <c r="G244" s="7">
        <v>81.5</v>
      </c>
      <c r="H244" s="7">
        <v>81</v>
      </c>
      <c r="I244" s="7">
        <v>81</v>
      </c>
      <c r="J244" s="7">
        <v>1167300</v>
      </c>
      <c r="K244" s="7">
        <v>14400</v>
      </c>
      <c r="L244" s="7">
        <v>119.1</v>
      </c>
      <c r="M244" s="7">
        <v>51.6</v>
      </c>
      <c r="N244" s="8">
        <f t="shared" si="0"/>
        <v>81.2</v>
      </c>
    </row>
    <row r="245" spans="1:14" ht="15">
      <c r="A245" s="6" t="s">
        <v>17</v>
      </c>
      <c r="B245" s="6" t="s">
        <v>35</v>
      </c>
      <c r="C245" s="6" t="s">
        <v>507</v>
      </c>
      <c r="D245" s="6" t="s">
        <v>508</v>
      </c>
      <c r="E245" s="7">
        <v>55.6</v>
      </c>
      <c r="F245" s="7">
        <v>58.2</v>
      </c>
      <c r="G245" s="7">
        <v>58.2</v>
      </c>
      <c r="H245" s="7">
        <v>54</v>
      </c>
      <c r="I245" s="7">
        <v>56.65</v>
      </c>
      <c r="J245" s="7">
        <v>1194750</v>
      </c>
      <c r="K245" s="7">
        <v>21000</v>
      </c>
      <c r="L245" s="7">
        <v>72.900000000000006</v>
      </c>
      <c r="M245" s="7">
        <v>37.049999999999997</v>
      </c>
      <c r="N245" s="8">
        <f t="shared" si="0"/>
        <v>56.530000000000008</v>
      </c>
    </row>
    <row r="246" spans="1:14" ht="15">
      <c r="A246" s="6" t="s">
        <v>17</v>
      </c>
      <c r="B246" s="6" t="s">
        <v>18</v>
      </c>
      <c r="C246" s="6" t="s">
        <v>509</v>
      </c>
      <c r="D246" s="6" t="s">
        <v>510</v>
      </c>
      <c r="E246" s="7">
        <v>59</v>
      </c>
      <c r="F246" s="7">
        <v>58</v>
      </c>
      <c r="G246" s="7">
        <v>60.9</v>
      </c>
      <c r="H246" s="7">
        <v>58</v>
      </c>
      <c r="I246" s="7">
        <v>60.9</v>
      </c>
      <c r="J246" s="7">
        <v>143080</v>
      </c>
      <c r="K246" s="7">
        <v>2400</v>
      </c>
      <c r="L246" s="7">
        <v>119.95</v>
      </c>
      <c r="M246" s="7">
        <v>55.75</v>
      </c>
      <c r="N246" s="8">
        <f t="shared" si="0"/>
        <v>59.36</v>
      </c>
    </row>
    <row r="247" spans="1:14" ht="15">
      <c r="A247" s="6" t="s">
        <v>17</v>
      </c>
      <c r="B247" s="6" t="s">
        <v>18</v>
      </c>
      <c r="C247" s="6" t="s">
        <v>511</v>
      </c>
      <c r="D247" s="6" t="s">
        <v>512</v>
      </c>
      <c r="E247" s="7">
        <v>172.5</v>
      </c>
      <c r="F247" s="7">
        <v>172.55</v>
      </c>
      <c r="G247" s="7">
        <v>174.95</v>
      </c>
      <c r="H247" s="7">
        <v>170.2</v>
      </c>
      <c r="I247" s="7">
        <v>171.05</v>
      </c>
      <c r="J247" s="7">
        <v>22972600</v>
      </c>
      <c r="K247" s="7">
        <v>133600</v>
      </c>
      <c r="L247" s="7">
        <v>229.9</v>
      </c>
      <c r="M247" s="7">
        <v>127</v>
      </c>
      <c r="N247" s="8">
        <f t="shared" si="0"/>
        <v>172.25</v>
      </c>
    </row>
    <row r="248" spans="1:14" ht="15">
      <c r="A248" s="6" t="s">
        <v>17</v>
      </c>
      <c r="B248" s="6" t="s">
        <v>18</v>
      </c>
      <c r="C248" s="6" t="s">
        <v>513</v>
      </c>
      <c r="D248" s="6" t="s">
        <v>514</v>
      </c>
      <c r="E248" s="7">
        <v>12.65</v>
      </c>
      <c r="F248" s="7">
        <v>13.25</v>
      </c>
      <c r="G248" s="7">
        <v>13.25</v>
      </c>
      <c r="H248" s="7">
        <v>13.25</v>
      </c>
      <c r="I248" s="7">
        <v>13.25</v>
      </c>
      <c r="J248" s="7">
        <v>159000</v>
      </c>
      <c r="K248" s="7">
        <v>12000</v>
      </c>
      <c r="L248" s="7">
        <v>43.05</v>
      </c>
      <c r="M248" s="7">
        <v>10.95</v>
      </c>
      <c r="N248" s="8">
        <f t="shared" si="0"/>
        <v>13.13</v>
      </c>
    </row>
    <row r="249" spans="1:14" ht="15">
      <c r="A249" s="6" t="s">
        <v>17</v>
      </c>
      <c r="B249" s="6" t="s">
        <v>18</v>
      </c>
      <c r="C249" s="6" t="s">
        <v>515</v>
      </c>
      <c r="D249" s="6" t="s">
        <v>516</v>
      </c>
      <c r="E249" s="7">
        <v>87.05</v>
      </c>
      <c r="F249" s="7">
        <v>85.8</v>
      </c>
      <c r="G249" s="7">
        <v>85.8</v>
      </c>
      <c r="H249" s="7">
        <v>77</v>
      </c>
      <c r="I249" s="7">
        <v>80.349999999999994</v>
      </c>
      <c r="J249" s="7">
        <v>3760680</v>
      </c>
      <c r="K249" s="7">
        <v>46800</v>
      </c>
      <c r="L249" s="7">
        <v>113.4</v>
      </c>
      <c r="M249" s="7">
        <v>71</v>
      </c>
      <c r="N249" s="8">
        <f t="shared" si="0"/>
        <v>83.2</v>
      </c>
    </row>
    <row r="250" spans="1:14" ht="15">
      <c r="A250" s="6" t="s">
        <v>17</v>
      </c>
      <c r="B250" s="6" t="s">
        <v>18</v>
      </c>
      <c r="C250" s="6" t="s">
        <v>517</v>
      </c>
      <c r="D250" s="6" t="s">
        <v>518</v>
      </c>
      <c r="E250" s="7">
        <v>101.45</v>
      </c>
      <c r="F250" s="7">
        <v>97.2</v>
      </c>
      <c r="G250" s="7">
        <v>99</v>
      </c>
      <c r="H250" s="7">
        <v>95</v>
      </c>
      <c r="I250" s="7">
        <v>98</v>
      </c>
      <c r="J250" s="7">
        <v>1702520</v>
      </c>
      <c r="K250" s="7">
        <v>17600</v>
      </c>
      <c r="L250" s="7">
        <v>206.85</v>
      </c>
      <c r="M250" s="7">
        <v>95</v>
      </c>
      <c r="N250" s="8">
        <f t="shared" si="0"/>
        <v>98.13</v>
      </c>
    </row>
    <row r="251" spans="1:14" ht="15">
      <c r="A251" s="6" t="s">
        <v>17</v>
      </c>
      <c r="B251" s="6" t="s">
        <v>18</v>
      </c>
      <c r="C251" s="6" t="s">
        <v>519</v>
      </c>
      <c r="D251" s="6" t="s">
        <v>520</v>
      </c>
      <c r="E251" s="7">
        <v>201.3</v>
      </c>
      <c r="F251" s="7">
        <v>202</v>
      </c>
      <c r="G251" s="7">
        <v>241.55</v>
      </c>
      <c r="H251" s="7">
        <v>198.4</v>
      </c>
      <c r="I251" s="7">
        <v>239.95</v>
      </c>
      <c r="J251" s="7">
        <v>22556400</v>
      </c>
      <c r="K251" s="7">
        <v>97000</v>
      </c>
      <c r="L251" s="7">
        <v>241.55</v>
      </c>
      <c r="M251" s="7">
        <v>126.3</v>
      </c>
      <c r="N251" s="8">
        <f t="shared" si="0"/>
        <v>216.64000000000001</v>
      </c>
    </row>
    <row r="252" spans="1:14" ht="15">
      <c r="A252" s="6" t="s">
        <v>17</v>
      </c>
      <c r="B252" s="6" t="s">
        <v>35</v>
      </c>
      <c r="C252" s="6" t="s">
        <v>521</v>
      </c>
      <c r="D252" s="6" t="s">
        <v>522</v>
      </c>
      <c r="E252" s="7">
        <v>3.65</v>
      </c>
      <c r="F252" s="7">
        <v>3.8</v>
      </c>
      <c r="G252" s="7">
        <v>3.8</v>
      </c>
      <c r="H252" s="7">
        <v>3.65</v>
      </c>
      <c r="I252" s="7">
        <v>3.65</v>
      </c>
      <c r="J252" s="7">
        <v>322400</v>
      </c>
      <c r="K252" s="7">
        <v>88000</v>
      </c>
      <c r="L252" s="7">
        <v>10.6</v>
      </c>
      <c r="M252" s="7">
        <v>3.05</v>
      </c>
      <c r="N252" s="8">
        <f t="shared" si="0"/>
        <v>3.71</v>
      </c>
    </row>
    <row r="253" spans="1:14" ht="15">
      <c r="A253" s="6" t="s">
        <v>17</v>
      </c>
      <c r="B253" s="6" t="s">
        <v>18</v>
      </c>
      <c r="C253" s="6" t="s">
        <v>523</v>
      </c>
      <c r="D253" s="6" t="s">
        <v>524</v>
      </c>
      <c r="E253" s="7">
        <v>15.65</v>
      </c>
      <c r="F253" s="7">
        <v>15.95</v>
      </c>
      <c r="G253" s="7">
        <v>16.3</v>
      </c>
      <c r="H253" s="7">
        <v>15.7</v>
      </c>
      <c r="I253" s="7">
        <v>15.7</v>
      </c>
      <c r="J253" s="7">
        <v>191175</v>
      </c>
      <c r="K253" s="7">
        <v>12000</v>
      </c>
      <c r="L253" s="7">
        <v>85</v>
      </c>
      <c r="M253" s="7">
        <v>15.55</v>
      </c>
      <c r="N253" s="8">
        <f t="shared" si="0"/>
        <v>15.860000000000003</v>
      </c>
    </row>
    <row r="254" spans="1:14" ht="15">
      <c r="A254" s="6" t="s">
        <v>17</v>
      </c>
      <c r="B254" s="6" t="s">
        <v>18</v>
      </c>
      <c r="C254" s="6" t="s">
        <v>525</v>
      </c>
      <c r="D254" s="6" t="s">
        <v>526</v>
      </c>
      <c r="E254" s="7">
        <v>26.85</v>
      </c>
      <c r="F254" s="7">
        <v>24.55</v>
      </c>
      <c r="G254" s="7">
        <v>25</v>
      </c>
      <c r="H254" s="7">
        <v>24.55</v>
      </c>
      <c r="I254" s="7">
        <v>25</v>
      </c>
      <c r="J254" s="7">
        <v>119280</v>
      </c>
      <c r="K254" s="7">
        <v>4800</v>
      </c>
      <c r="L254" s="7">
        <v>54</v>
      </c>
      <c r="M254" s="7">
        <v>23.35</v>
      </c>
      <c r="N254" s="8">
        <f t="shared" si="0"/>
        <v>25.189999999999998</v>
      </c>
    </row>
    <row r="255" spans="1:14" ht="15">
      <c r="A255" s="6" t="s">
        <v>17</v>
      </c>
      <c r="B255" s="6" t="s">
        <v>18</v>
      </c>
      <c r="C255" s="6" t="s">
        <v>527</v>
      </c>
      <c r="D255" s="6" t="s">
        <v>528</v>
      </c>
      <c r="E255" s="7">
        <v>15.4</v>
      </c>
      <c r="F255" s="7">
        <v>15.3</v>
      </c>
      <c r="G255" s="7">
        <v>15.5</v>
      </c>
      <c r="H255" s="7">
        <v>15.3</v>
      </c>
      <c r="I255" s="7">
        <v>15.4</v>
      </c>
      <c r="J255" s="7">
        <v>138250</v>
      </c>
      <c r="K255" s="7">
        <v>9000</v>
      </c>
      <c r="L255" s="7">
        <v>27.4</v>
      </c>
      <c r="M255" s="7">
        <v>15.25</v>
      </c>
      <c r="N255" s="8">
        <f t="shared" si="0"/>
        <v>15.38</v>
      </c>
    </row>
    <row r="256" spans="1:14" ht="15">
      <c r="A256" s="6" t="s">
        <v>17</v>
      </c>
      <c r="B256" s="6" t="s">
        <v>18</v>
      </c>
      <c r="C256" s="6" t="s">
        <v>529</v>
      </c>
      <c r="D256" s="6" t="s">
        <v>530</v>
      </c>
      <c r="E256" s="7">
        <v>114.7</v>
      </c>
      <c r="F256" s="7">
        <v>120</v>
      </c>
      <c r="G256" s="7">
        <v>120</v>
      </c>
      <c r="H256" s="7">
        <v>114</v>
      </c>
      <c r="I256" s="7">
        <v>115.9</v>
      </c>
      <c r="J256" s="7">
        <v>2789220</v>
      </c>
      <c r="K256" s="7">
        <v>24000</v>
      </c>
      <c r="L256" s="7">
        <v>156</v>
      </c>
      <c r="M256" s="7">
        <v>77.150000000000006</v>
      </c>
      <c r="N256" s="8">
        <f t="shared" si="0"/>
        <v>116.92</v>
      </c>
    </row>
    <row r="257" spans="1:14" ht="15">
      <c r="A257" s="6" t="s">
        <v>17</v>
      </c>
      <c r="B257" s="6" t="s">
        <v>18</v>
      </c>
      <c r="C257" s="6" t="s">
        <v>531</v>
      </c>
      <c r="D257" s="6" t="s">
        <v>532</v>
      </c>
      <c r="E257" s="7">
        <v>58.55</v>
      </c>
      <c r="F257" s="7">
        <v>55.65</v>
      </c>
      <c r="G257" s="7">
        <v>60.75</v>
      </c>
      <c r="H257" s="7">
        <v>55.65</v>
      </c>
      <c r="I257" s="7">
        <v>55.65</v>
      </c>
      <c r="J257" s="7">
        <v>4645185</v>
      </c>
      <c r="K257" s="7">
        <v>82200</v>
      </c>
      <c r="L257" s="7">
        <v>390.35</v>
      </c>
      <c r="M257" s="7">
        <v>46.75</v>
      </c>
      <c r="N257" s="8">
        <f t="shared" ref="N257:N461" si="1">AVERAGE(F257,G257,H257,I257,E257)</f>
        <v>57.25</v>
      </c>
    </row>
    <row r="258" spans="1:14" ht="15">
      <c r="A258" s="6" t="s">
        <v>17</v>
      </c>
      <c r="B258" s="6" t="s">
        <v>18</v>
      </c>
      <c r="C258" s="6" t="s">
        <v>533</v>
      </c>
      <c r="D258" s="6" t="s">
        <v>534</v>
      </c>
      <c r="E258" s="7">
        <v>311.2</v>
      </c>
      <c r="F258" s="7">
        <v>320</v>
      </c>
      <c r="G258" s="7">
        <v>320</v>
      </c>
      <c r="H258" s="7">
        <v>308.45</v>
      </c>
      <c r="I258" s="7">
        <v>310.95</v>
      </c>
      <c r="J258" s="7">
        <v>22533740</v>
      </c>
      <c r="K258" s="7">
        <v>72000</v>
      </c>
      <c r="L258" s="7">
        <v>360</v>
      </c>
      <c r="M258" s="7">
        <v>144.9</v>
      </c>
      <c r="N258" s="8">
        <f t="shared" si="1"/>
        <v>314.12</v>
      </c>
    </row>
    <row r="259" spans="1:14" ht="15">
      <c r="A259" s="6" t="s">
        <v>17</v>
      </c>
      <c r="B259" s="6" t="s">
        <v>18</v>
      </c>
      <c r="C259" s="6" t="s">
        <v>535</v>
      </c>
      <c r="D259" s="6" t="s">
        <v>536</v>
      </c>
      <c r="E259" s="7">
        <v>64.95</v>
      </c>
      <c r="F259" s="7">
        <v>64.900000000000006</v>
      </c>
      <c r="G259" s="7">
        <v>64.95</v>
      </c>
      <c r="H259" s="7">
        <v>61.55</v>
      </c>
      <c r="I259" s="7">
        <v>64.400000000000006</v>
      </c>
      <c r="J259" s="7">
        <v>381360</v>
      </c>
      <c r="K259" s="7">
        <v>6000</v>
      </c>
      <c r="L259" s="7">
        <v>140</v>
      </c>
      <c r="M259" s="7">
        <v>51</v>
      </c>
      <c r="N259" s="8">
        <f t="shared" si="1"/>
        <v>64.150000000000006</v>
      </c>
    </row>
    <row r="260" spans="1:14" ht="15">
      <c r="A260" s="6" t="s">
        <v>17</v>
      </c>
      <c r="B260" s="6" t="s">
        <v>18</v>
      </c>
      <c r="C260" s="6" t="s">
        <v>537</v>
      </c>
      <c r="D260" s="6" t="s">
        <v>538</v>
      </c>
      <c r="E260" s="7">
        <v>116.45</v>
      </c>
      <c r="F260" s="7">
        <v>117.5</v>
      </c>
      <c r="G260" s="7">
        <v>118</v>
      </c>
      <c r="H260" s="7">
        <v>117.5</v>
      </c>
      <c r="I260" s="7">
        <v>117.9</v>
      </c>
      <c r="J260" s="7">
        <v>1304655</v>
      </c>
      <c r="K260" s="7">
        <v>11100</v>
      </c>
      <c r="L260" s="7">
        <v>276.89999999999998</v>
      </c>
      <c r="M260" s="7">
        <v>100</v>
      </c>
      <c r="N260" s="8">
        <f t="shared" si="1"/>
        <v>117.47</v>
      </c>
    </row>
    <row r="261" spans="1:14" ht="15">
      <c r="A261" s="6" t="s">
        <v>17</v>
      </c>
      <c r="B261" s="6" t="s">
        <v>18</v>
      </c>
      <c r="C261" s="6" t="s">
        <v>539</v>
      </c>
      <c r="D261" s="6" t="s">
        <v>540</v>
      </c>
      <c r="E261" s="7">
        <v>300.8</v>
      </c>
      <c r="F261" s="7">
        <v>302</v>
      </c>
      <c r="G261" s="7">
        <v>306.89999999999998</v>
      </c>
      <c r="H261" s="7">
        <v>302</v>
      </c>
      <c r="I261" s="7">
        <v>304.35000000000002</v>
      </c>
      <c r="J261" s="7">
        <v>1213160</v>
      </c>
      <c r="K261" s="7">
        <v>4000</v>
      </c>
      <c r="L261" s="7">
        <v>355</v>
      </c>
      <c r="M261" s="7">
        <v>98.15</v>
      </c>
      <c r="N261" s="8">
        <f t="shared" si="1"/>
        <v>303.20999999999998</v>
      </c>
    </row>
    <row r="262" spans="1:14" ht="15">
      <c r="A262" s="6" t="s">
        <v>17</v>
      </c>
      <c r="B262" s="6" t="s">
        <v>18</v>
      </c>
      <c r="C262" s="6" t="s">
        <v>541</v>
      </c>
      <c r="D262" s="6" t="s">
        <v>542</v>
      </c>
      <c r="E262" s="7">
        <v>34</v>
      </c>
      <c r="F262" s="7">
        <v>34</v>
      </c>
      <c r="G262" s="7">
        <v>34.75</v>
      </c>
      <c r="H262" s="7">
        <v>34</v>
      </c>
      <c r="I262" s="7">
        <v>34.75</v>
      </c>
      <c r="J262" s="7">
        <v>413100</v>
      </c>
      <c r="K262" s="7">
        <v>12000</v>
      </c>
      <c r="L262" s="7">
        <v>74.45</v>
      </c>
      <c r="M262" s="7">
        <v>28.1</v>
      </c>
      <c r="N262" s="8">
        <f t="shared" si="1"/>
        <v>34.299999999999997</v>
      </c>
    </row>
    <row r="263" spans="1:14" ht="15">
      <c r="A263" s="6" t="s">
        <v>17</v>
      </c>
      <c r="B263" s="6" t="s">
        <v>18</v>
      </c>
      <c r="C263" s="6" t="s">
        <v>543</v>
      </c>
      <c r="D263" s="6" t="s">
        <v>544</v>
      </c>
      <c r="E263" s="7">
        <v>83</v>
      </c>
      <c r="F263" s="7">
        <v>82.5</v>
      </c>
      <c r="G263" s="7">
        <v>82.5</v>
      </c>
      <c r="H263" s="7">
        <v>80.5</v>
      </c>
      <c r="I263" s="7">
        <v>81.2</v>
      </c>
      <c r="J263" s="7">
        <v>1045760</v>
      </c>
      <c r="K263" s="7">
        <v>12800</v>
      </c>
      <c r="L263" s="7">
        <v>107.55</v>
      </c>
      <c r="M263" s="7">
        <v>67.95</v>
      </c>
      <c r="N263" s="8">
        <f t="shared" si="1"/>
        <v>81.94</v>
      </c>
    </row>
    <row r="264" spans="1:14" ht="15">
      <c r="A264" s="6" t="s">
        <v>17</v>
      </c>
      <c r="B264" s="6" t="s">
        <v>18</v>
      </c>
      <c r="C264" s="6" t="s">
        <v>545</v>
      </c>
      <c r="D264" s="6" t="s">
        <v>546</v>
      </c>
      <c r="E264" s="7">
        <v>1538.65</v>
      </c>
      <c r="F264" s="7">
        <v>1549</v>
      </c>
      <c r="G264" s="7">
        <v>1600</v>
      </c>
      <c r="H264" s="7">
        <v>1506.65</v>
      </c>
      <c r="I264" s="7">
        <v>1581.75</v>
      </c>
      <c r="J264" s="7">
        <v>93643331</v>
      </c>
      <c r="K264" s="7">
        <v>60675</v>
      </c>
      <c r="L264" s="7">
        <v>3064</v>
      </c>
      <c r="M264" s="7">
        <v>1000</v>
      </c>
      <c r="N264" s="8">
        <f t="shared" si="1"/>
        <v>1555.2099999999998</v>
      </c>
    </row>
    <row r="265" spans="1:14" ht="15">
      <c r="A265" s="6" t="s">
        <v>17</v>
      </c>
      <c r="B265" s="6" t="s">
        <v>35</v>
      </c>
      <c r="C265" s="6" t="s">
        <v>547</v>
      </c>
      <c r="D265" s="6" t="s">
        <v>548</v>
      </c>
      <c r="E265" s="7">
        <v>448</v>
      </c>
      <c r="F265" s="7">
        <v>442.55</v>
      </c>
      <c r="G265" s="7">
        <v>457</v>
      </c>
      <c r="H265" s="7">
        <v>442</v>
      </c>
      <c r="I265" s="7">
        <v>450.25</v>
      </c>
      <c r="J265" s="7">
        <v>2422690</v>
      </c>
      <c r="K265" s="7">
        <v>5400</v>
      </c>
      <c r="L265" s="7">
        <v>835</v>
      </c>
      <c r="M265" s="7">
        <v>186.25</v>
      </c>
      <c r="N265" s="8">
        <f t="shared" si="1"/>
        <v>447.96000000000004</v>
      </c>
    </row>
    <row r="266" spans="1:14" ht="15">
      <c r="A266" s="6" t="s">
        <v>17</v>
      </c>
      <c r="B266" s="6" t="s">
        <v>18</v>
      </c>
      <c r="C266" s="6" t="s">
        <v>549</v>
      </c>
      <c r="D266" s="6" t="s">
        <v>550</v>
      </c>
      <c r="E266" s="7">
        <v>231.05</v>
      </c>
      <c r="F266" s="7">
        <v>230.65</v>
      </c>
      <c r="G266" s="7">
        <v>242.6</v>
      </c>
      <c r="H266" s="7">
        <v>225</v>
      </c>
      <c r="I266" s="7">
        <v>237.7</v>
      </c>
      <c r="J266" s="7">
        <v>5186270</v>
      </c>
      <c r="K266" s="7">
        <v>22300</v>
      </c>
      <c r="L266" s="7">
        <v>930</v>
      </c>
      <c r="M266" s="7">
        <v>200.1</v>
      </c>
      <c r="N266" s="8">
        <f t="shared" si="1"/>
        <v>233.4</v>
      </c>
    </row>
    <row r="267" spans="1:14" ht="15">
      <c r="A267" s="6" t="s">
        <v>17</v>
      </c>
      <c r="B267" s="6" t="s">
        <v>35</v>
      </c>
      <c r="C267" s="6" t="s">
        <v>551</v>
      </c>
      <c r="D267" s="6" t="s">
        <v>552</v>
      </c>
      <c r="E267" s="7">
        <v>280</v>
      </c>
      <c r="F267" s="7">
        <v>293</v>
      </c>
      <c r="G267" s="7">
        <v>293.89999999999998</v>
      </c>
      <c r="H267" s="7">
        <v>293</v>
      </c>
      <c r="I267" s="7">
        <v>293</v>
      </c>
      <c r="J267" s="7">
        <v>2638400</v>
      </c>
      <c r="K267" s="7">
        <v>9000</v>
      </c>
      <c r="L267" s="7">
        <v>318.10000000000002</v>
      </c>
      <c r="M267" s="7">
        <v>122.85</v>
      </c>
      <c r="N267" s="8">
        <f t="shared" si="1"/>
        <v>290.58000000000004</v>
      </c>
    </row>
    <row r="268" spans="1:14" ht="15">
      <c r="A268" s="6" t="s">
        <v>17</v>
      </c>
      <c r="B268" s="6" t="s">
        <v>18</v>
      </c>
      <c r="C268" s="6" t="s">
        <v>553</v>
      </c>
      <c r="D268" s="6" t="s">
        <v>554</v>
      </c>
      <c r="E268" s="7">
        <v>185.2</v>
      </c>
      <c r="F268" s="7">
        <v>199</v>
      </c>
      <c r="G268" s="7">
        <v>212</v>
      </c>
      <c r="H268" s="7">
        <v>197.8</v>
      </c>
      <c r="I268" s="7">
        <v>197.85</v>
      </c>
      <c r="J268" s="7">
        <v>981270</v>
      </c>
      <c r="K268" s="7">
        <v>4800</v>
      </c>
      <c r="L268" s="7">
        <v>294</v>
      </c>
      <c r="M268" s="7">
        <v>145</v>
      </c>
      <c r="N268" s="8">
        <f t="shared" si="1"/>
        <v>198.36999999999998</v>
      </c>
    </row>
    <row r="269" spans="1:14" ht="15">
      <c r="A269" s="6" t="s">
        <v>17</v>
      </c>
      <c r="B269" s="6" t="s">
        <v>18</v>
      </c>
      <c r="C269" s="6" t="s">
        <v>555</v>
      </c>
      <c r="D269" s="6" t="s">
        <v>556</v>
      </c>
      <c r="E269" s="7">
        <v>38.299999999999997</v>
      </c>
      <c r="F269" s="7">
        <v>38</v>
      </c>
      <c r="G269" s="7">
        <v>39.200000000000003</v>
      </c>
      <c r="H269" s="7">
        <v>38</v>
      </c>
      <c r="I269" s="7">
        <v>39.200000000000003</v>
      </c>
      <c r="J269" s="7">
        <v>233520</v>
      </c>
      <c r="K269" s="7">
        <v>6000</v>
      </c>
      <c r="L269" s="7">
        <v>84</v>
      </c>
      <c r="M269" s="7">
        <v>34.1</v>
      </c>
      <c r="N269" s="8">
        <f t="shared" si="1"/>
        <v>38.54</v>
      </c>
    </row>
    <row r="270" spans="1:14" ht="15">
      <c r="A270" s="6" t="s">
        <v>17</v>
      </c>
      <c r="B270" s="6" t="s">
        <v>18</v>
      </c>
      <c r="C270" s="6" t="s">
        <v>557</v>
      </c>
      <c r="D270" s="6" t="s">
        <v>558</v>
      </c>
      <c r="E270" s="7">
        <v>75.099999999999994</v>
      </c>
      <c r="F270" s="7">
        <v>76</v>
      </c>
      <c r="G270" s="7">
        <v>76</v>
      </c>
      <c r="H270" s="7">
        <v>76</v>
      </c>
      <c r="I270" s="7">
        <v>76</v>
      </c>
      <c r="J270" s="7">
        <v>91200</v>
      </c>
      <c r="K270" s="7">
        <v>1200</v>
      </c>
      <c r="L270" s="7">
        <v>108.95</v>
      </c>
      <c r="M270" s="7">
        <v>63.6</v>
      </c>
      <c r="N270" s="8">
        <f t="shared" si="1"/>
        <v>75.820000000000007</v>
      </c>
    </row>
    <row r="271" spans="1:14" ht="15">
      <c r="A271" s="6" t="s">
        <v>17</v>
      </c>
      <c r="B271" s="6" t="s">
        <v>18</v>
      </c>
      <c r="C271" s="6" t="s">
        <v>559</v>
      </c>
      <c r="D271" s="6" t="s">
        <v>560</v>
      </c>
      <c r="E271" s="7">
        <v>41.25</v>
      </c>
      <c r="F271" s="7">
        <v>41.05</v>
      </c>
      <c r="G271" s="7">
        <v>41.05</v>
      </c>
      <c r="H271" s="7">
        <v>40.9</v>
      </c>
      <c r="I271" s="7">
        <v>41</v>
      </c>
      <c r="J271" s="7">
        <v>147540</v>
      </c>
      <c r="K271" s="7">
        <v>3600</v>
      </c>
      <c r="L271" s="7">
        <v>90</v>
      </c>
      <c r="M271" s="7">
        <v>40.9</v>
      </c>
      <c r="N271" s="8">
        <f t="shared" si="1"/>
        <v>41.05</v>
      </c>
    </row>
    <row r="272" spans="1:14" ht="15">
      <c r="A272" s="6" t="s">
        <v>17</v>
      </c>
      <c r="B272" s="6" t="s">
        <v>18</v>
      </c>
      <c r="C272" s="6" t="s">
        <v>561</v>
      </c>
      <c r="D272" s="6" t="s">
        <v>562</v>
      </c>
      <c r="E272" s="7">
        <v>25.3</v>
      </c>
      <c r="F272" s="7">
        <v>25.75</v>
      </c>
      <c r="G272" s="7">
        <v>27.95</v>
      </c>
      <c r="H272" s="7">
        <v>25.65</v>
      </c>
      <c r="I272" s="7">
        <v>27</v>
      </c>
      <c r="J272" s="7">
        <v>1448700</v>
      </c>
      <c r="K272" s="7">
        <v>54000</v>
      </c>
      <c r="L272" s="7">
        <v>78</v>
      </c>
      <c r="M272" s="7">
        <v>25.1</v>
      </c>
      <c r="N272" s="8">
        <f t="shared" si="1"/>
        <v>26.330000000000002</v>
      </c>
    </row>
    <row r="273" spans="1:14" ht="15">
      <c r="A273" s="6" t="s">
        <v>17</v>
      </c>
      <c r="B273" s="6" t="s">
        <v>18</v>
      </c>
      <c r="C273" s="6" t="s">
        <v>563</v>
      </c>
      <c r="D273" s="6" t="s">
        <v>564</v>
      </c>
      <c r="E273" s="7">
        <v>652</v>
      </c>
      <c r="F273" s="7">
        <v>620.1</v>
      </c>
      <c r="G273" s="7">
        <v>639</v>
      </c>
      <c r="H273" s="7">
        <v>619.4</v>
      </c>
      <c r="I273" s="7">
        <v>619.4</v>
      </c>
      <c r="J273" s="7">
        <v>1868925</v>
      </c>
      <c r="K273" s="7">
        <v>3000</v>
      </c>
      <c r="L273" s="7">
        <v>662</v>
      </c>
      <c r="M273" s="7">
        <v>311.64999999999998</v>
      </c>
      <c r="N273" s="8">
        <f t="shared" si="1"/>
        <v>629.98</v>
      </c>
    </row>
    <row r="274" spans="1:14" ht="15">
      <c r="A274" s="6" t="s">
        <v>17</v>
      </c>
      <c r="B274" s="6" t="s">
        <v>18</v>
      </c>
      <c r="C274" s="6" t="s">
        <v>565</v>
      </c>
      <c r="D274" s="6" t="s">
        <v>566</v>
      </c>
      <c r="E274" s="7">
        <v>216.05</v>
      </c>
      <c r="F274" s="7">
        <v>216.05</v>
      </c>
      <c r="G274" s="7">
        <v>236.95</v>
      </c>
      <c r="H274" s="7">
        <v>216</v>
      </c>
      <c r="I274" s="7">
        <v>220.3</v>
      </c>
      <c r="J274" s="7">
        <v>4679840</v>
      </c>
      <c r="K274" s="7">
        <v>20800</v>
      </c>
      <c r="L274" s="7">
        <v>306.39999999999998</v>
      </c>
      <c r="M274" s="7">
        <v>169</v>
      </c>
      <c r="N274" s="8">
        <f t="shared" si="1"/>
        <v>221.07</v>
      </c>
    </row>
    <row r="275" spans="1:14" ht="15">
      <c r="A275" s="6" t="s">
        <v>17</v>
      </c>
      <c r="B275" s="6" t="s">
        <v>18</v>
      </c>
      <c r="C275" s="6" t="s">
        <v>567</v>
      </c>
      <c r="D275" s="6" t="s">
        <v>568</v>
      </c>
      <c r="E275" s="7">
        <v>86</v>
      </c>
      <c r="F275" s="7">
        <v>84.15</v>
      </c>
      <c r="G275" s="7">
        <v>84.15</v>
      </c>
      <c r="H275" s="7">
        <v>80.400000000000006</v>
      </c>
      <c r="I275" s="7">
        <v>83</v>
      </c>
      <c r="J275" s="7">
        <v>736000</v>
      </c>
      <c r="K275" s="7">
        <v>9000</v>
      </c>
      <c r="L275" s="7">
        <v>126.95</v>
      </c>
      <c r="M275" s="7">
        <v>63.05</v>
      </c>
      <c r="N275" s="8">
        <f t="shared" si="1"/>
        <v>83.54</v>
      </c>
    </row>
    <row r="276" spans="1:14" ht="15">
      <c r="A276" s="6" t="s">
        <v>17</v>
      </c>
      <c r="B276" s="6" t="s">
        <v>18</v>
      </c>
      <c r="C276" s="6" t="s">
        <v>569</v>
      </c>
      <c r="D276" s="6" t="s">
        <v>570</v>
      </c>
      <c r="E276" s="7">
        <v>146.25</v>
      </c>
      <c r="F276" s="7">
        <v>146.5</v>
      </c>
      <c r="G276" s="7">
        <v>146.5</v>
      </c>
      <c r="H276" s="7">
        <v>134.25</v>
      </c>
      <c r="I276" s="7">
        <v>136.75</v>
      </c>
      <c r="J276" s="7">
        <v>8327340</v>
      </c>
      <c r="K276" s="7">
        <v>59400</v>
      </c>
      <c r="L276" s="7">
        <v>268.89999999999998</v>
      </c>
      <c r="M276" s="7">
        <v>134.25</v>
      </c>
      <c r="N276" s="8">
        <f t="shared" si="1"/>
        <v>142.05000000000001</v>
      </c>
    </row>
    <row r="277" spans="1:14" ht="15">
      <c r="A277" s="6" t="s">
        <v>17</v>
      </c>
      <c r="B277" s="6" t="s">
        <v>18</v>
      </c>
      <c r="C277" s="6" t="s">
        <v>571</v>
      </c>
      <c r="D277" s="6" t="s">
        <v>572</v>
      </c>
      <c r="E277" s="7">
        <v>106.65</v>
      </c>
      <c r="F277" s="7">
        <v>101.35</v>
      </c>
      <c r="G277" s="7">
        <v>101.35</v>
      </c>
      <c r="H277" s="7">
        <v>101.35</v>
      </c>
      <c r="I277" s="7">
        <v>101.35</v>
      </c>
      <c r="J277" s="7">
        <v>152025</v>
      </c>
      <c r="K277" s="7">
        <v>1500</v>
      </c>
      <c r="L277" s="7">
        <v>160</v>
      </c>
      <c r="M277" s="7">
        <v>60.1</v>
      </c>
      <c r="N277" s="8">
        <f t="shared" si="1"/>
        <v>102.41</v>
      </c>
    </row>
    <row r="278" spans="1:14" ht="15">
      <c r="A278" s="6" t="s">
        <v>17</v>
      </c>
      <c r="B278" s="6" t="s">
        <v>18</v>
      </c>
      <c r="C278" s="6" t="s">
        <v>573</v>
      </c>
      <c r="D278" s="6" t="s">
        <v>574</v>
      </c>
      <c r="E278" s="7">
        <v>305</v>
      </c>
      <c r="F278" s="7">
        <v>303</v>
      </c>
      <c r="G278" s="7">
        <v>303</v>
      </c>
      <c r="H278" s="7">
        <v>300.25</v>
      </c>
      <c r="I278" s="7">
        <v>302</v>
      </c>
      <c r="J278" s="7">
        <v>543450</v>
      </c>
      <c r="K278" s="7">
        <v>1800</v>
      </c>
      <c r="L278" s="7">
        <v>461</v>
      </c>
      <c r="M278" s="7">
        <v>280.05</v>
      </c>
      <c r="N278" s="8">
        <f t="shared" si="1"/>
        <v>302.64999999999998</v>
      </c>
    </row>
    <row r="279" spans="1:14" ht="15">
      <c r="A279" s="6" t="s">
        <v>17</v>
      </c>
      <c r="B279" s="6" t="s">
        <v>35</v>
      </c>
      <c r="C279" s="6" t="s">
        <v>575</v>
      </c>
      <c r="D279" s="6" t="s">
        <v>576</v>
      </c>
      <c r="E279" s="7">
        <v>65.3</v>
      </c>
      <c r="F279" s="7">
        <v>66</v>
      </c>
      <c r="G279" s="7">
        <v>66</v>
      </c>
      <c r="H279" s="7">
        <v>66</v>
      </c>
      <c r="I279" s="7">
        <v>66</v>
      </c>
      <c r="J279" s="7">
        <v>66000</v>
      </c>
      <c r="K279" s="7">
        <v>1000</v>
      </c>
      <c r="L279" s="7">
        <v>99.5</v>
      </c>
      <c r="M279" s="7">
        <v>50.55</v>
      </c>
      <c r="N279" s="8">
        <f t="shared" si="1"/>
        <v>65.86</v>
      </c>
    </row>
    <row r="280" spans="1:14" ht="15">
      <c r="A280" s="6" t="s">
        <v>17</v>
      </c>
      <c r="B280" s="6" t="s">
        <v>577</v>
      </c>
      <c r="C280" s="6" t="s">
        <v>578</v>
      </c>
      <c r="D280" s="6" t="s">
        <v>579</v>
      </c>
      <c r="E280" s="7">
        <v>3.55</v>
      </c>
      <c r="F280" s="7">
        <v>3.55</v>
      </c>
      <c r="G280" s="7">
        <v>3.55</v>
      </c>
      <c r="H280" s="7">
        <v>3.55</v>
      </c>
      <c r="I280" s="7">
        <v>3.55</v>
      </c>
      <c r="J280" s="7">
        <v>10650</v>
      </c>
      <c r="K280" s="7">
        <v>3000</v>
      </c>
      <c r="L280" s="7">
        <v>19.399999999999999</v>
      </c>
      <c r="M280" s="7">
        <v>3.55</v>
      </c>
      <c r="N280" s="8">
        <f t="shared" si="1"/>
        <v>3.55</v>
      </c>
    </row>
    <row r="281" spans="1:14" ht="15">
      <c r="A281" s="6" t="s">
        <v>17</v>
      </c>
      <c r="B281" s="6" t="s">
        <v>18</v>
      </c>
      <c r="C281" s="6" t="s">
        <v>580</v>
      </c>
      <c r="D281" s="6" t="s">
        <v>581</v>
      </c>
      <c r="E281" s="7">
        <v>258.8</v>
      </c>
      <c r="F281" s="7">
        <v>257.89999999999998</v>
      </c>
      <c r="G281" s="7">
        <v>267.5</v>
      </c>
      <c r="H281" s="7">
        <v>248</v>
      </c>
      <c r="I281" s="7">
        <v>257</v>
      </c>
      <c r="J281" s="7">
        <v>3634800</v>
      </c>
      <c r="K281" s="7">
        <v>14000</v>
      </c>
      <c r="L281" s="7">
        <v>267.5</v>
      </c>
      <c r="M281" s="7">
        <v>150</v>
      </c>
      <c r="N281" s="8">
        <f t="shared" si="1"/>
        <v>257.84000000000003</v>
      </c>
    </row>
    <row r="282" spans="1:14" ht="15">
      <c r="A282" s="6" t="s">
        <v>17</v>
      </c>
      <c r="B282" s="6" t="s">
        <v>18</v>
      </c>
      <c r="C282" s="6" t="s">
        <v>582</v>
      </c>
      <c r="D282" s="6" t="s">
        <v>583</v>
      </c>
      <c r="E282" s="7">
        <v>205.7</v>
      </c>
      <c r="F282" s="7">
        <v>210</v>
      </c>
      <c r="G282" s="7">
        <v>210</v>
      </c>
      <c r="H282" s="7">
        <v>192.75</v>
      </c>
      <c r="I282" s="7">
        <v>195.55</v>
      </c>
      <c r="J282" s="7">
        <v>5930190</v>
      </c>
      <c r="K282" s="7">
        <v>29700</v>
      </c>
      <c r="L282" s="7">
        <v>327.95</v>
      </c>
      <c r="M282" s="7">
        <v>165</v>
      </c>
      <c r="N282" s="8">
        <f t="shared" si="1"/>
        <v>202.8</v>
      </c>
    </row>
    <row r="283" spans="1:14" ht="15">
      <c r="A283" s="6" t="s">
        <v>17</v>
      </c>
      <c r="B283" s="6" t="s">
        <v>18</v>
      </c>
      <c r="C283" s="6" t="s">
        <v>584</v>
      </c>
      <c r="D283" s="6" t="s">
        <v>585</v>
      </c>
      <c r="E283" s="7">
        <v>20.350000000000001</v>
      </c>
      <c r="F283" s="7">
        <v>19.5</v>
      </c>
      <c r="G283" s="7">
        <v>19.5</v>
      </c>
      <c r="H283" s="7">
        <v>19.5</v>
      </c>
      <c r="I283" s="7">
        <v>19.5</v>
      </c>
      <c r="J283" s="7">
        <v>39000</v>
      </c>
      <c r="K283" s="7">
        <v>2000</v>
      </c>
      <c r="L283" s="7">
        <v>29.1</v>
      </c>
      <c r="M283" s="7">
        <v>16.75</v>
      </c>
      <c r="N283" s="8">
        <f t="shared" si="1"/>
        <v>19.669999999999998</v>
      </c>
    </row>
    <row r="284" spans="1:14" ht="15">
      <c r="A284" s="6" t="s">
        <v>17</v>
      </c>
      <c r="B284" s="6" t="s">
        <v>18</v>
      </c>
      <c r="C284" s="6" t="s">
        <v>586</v>
      </c>
      <c r="D284" s="6" t="s">
        <v>587</v>
      </c>
      <c r="E284" s="7">
        <v>9.4499999999999993</v>
      </c>
      <c r="F284" s="7">
        <v>9.15</v>
      </c>
      <c r="G284" s="7">
        <v>9.75</v>
      </c>
      <c r="H284" s="7">
        <v>9.15</v>
      </c>
      <c r="I284" s="7">
        <v>9.5</v>
      </c>
      <c r="J284" s="7">
        <v>112650</v>
      </c>
      <c r="K284" s="7">
        <v>12000</v>
      </c>
      <c r="L284" s="7">
        <v>42</v>
      </c>
      <c r="M284" s="7">
        <v>8.8000000000000007</v>
      </c>
      <c r="N284" s="8">
        <f t="shared" si="1"/>
        <v>9.4</v>
      </c>
    </row>
    <row r="285" spans="1:14" ht="15">
      <c r="A285" s="6" t="s">
        <v>17</v>
      </c>
      <c r="B285" s="6" t="s">
        <v>18</v>
      </c>
      <c r="C285" s="6" t="s">
        <v>588</v>
      </c>
      <c r="D285" s="6" t="s">
        <v>589</v>
      </c>
      <c r="E285" s="7">
        <v>14.5</v>
      </c>
      <c r="F285" s="7">
        <v>15.15</v>
      </c>
      <c r="G285" s="7">
        <v>15.2</v>
      </c>
      <c r="H285" s="7">
        <v>14.5</v>
      </c>
      <c r="I285" s="7">
        <v>14.5</v>
      </c>
      <c r="J285" s="7">
        <v>180150</v>
      </c>
      <c r="K285" s="7">
        <v>12000</v>
      </c>
      <c r="L285" s="7">
        <v>29.75</v>
      </c>
      <c r="M285" s="7">
        <v>13.8</v>
      </c>
      <c r="N285" s="8">
        <f t="shared" si="1"/>
        <v>14.77</v>
      </c>
    </row>
    <row r="286" spans="1:14" ht="15">
      <c r="A286" s="6" t="s">
        <v>17</v>
      </c>
      <c r="B286" s="6" t="s">
        <v>35</v>
      </c>
      <c r="C286" s="6" t="s">
        <v>590</v>
      </c>
      <c r="D286" s="6" t="s">
        <v>591</v>
      </c>
      <c r="E286" s="7">
        <v>221</v>
      </c>
      <c r="F286" s="7">
        <v>222</v>
      </c>
      <c r="G286" s="7">
        <v>231</v>
      </c>
      <c r="H286" s="7">
        <v>218</v>
      </c>
      <c r="I286" s="7">
        <v>221.8</v>
      </c>
      <c r="J286" s="7">
        <v>3244875</v>
      </c>
      <c r="K286" s="7">
        <v>14500</v>
      </c>
      <c r="L286" s="7">
        <v>356.75</v>
      </c>
      <c r="M286" s="7">
        <v>14.25</v>
      </c>
      <c r="N286" s="8">
        <f t="shared" si="1"/>
        <v>222.76</v>
      </c>
    </row>
    <row r="287" spans="1:14" ht="15">
      <c r="A287" s="6" t="s">
        <v>17</v>
      </c>
      <c r="B287" s="6" t="s">
        <v>18</v>
      </c>
      <c r="C287" s="6" t="s">
        <v>592</v>
      </c>
      <c r="D287" s="6" t="s">
        <v>593</v>
      </c>
      <c r="E287" s="7">
        <v>174</v>
      </c>
      <c r="F287" s="7">
        <v>183</v>
      </c>
      <c r="G287" s="7">
        <v>183</v>
      </c>
      <c r="H287" s="7">
        <v>177.5</v>
      </c>
      <c r="I287" s="7">
        <v>181</v>
      </c>
      <c r="J287" s="7">
        <v>376455</v>
      </c>
      <c r="K287" s="7">
        <v>2100</v>
      </c>
      <c r="L287" s="7">
        <v>420</v>
      </c>
      <c r="M287" s="7">
        <v>163.19999999999999</v>
      </c>
      <c r="N287" s="8">
        <f t="shared" si="1"/>
        <v>179.7</v>
      </c>
    </row>
    <row r="288" spans="1:14" ht="15">
      <c r="A288" s="6" t="s">
        <v>17</v>
      </c>
      <c r="B288" s="6" t="s">
        <v>18</v>
      </c>
      <c r="C288" s="6" t="s">
        <v>594</v>
      </c>
      <c r="D288" s="6" t="s">
        <v>595</v>
      </c>
      <c r="E288" s="7">
        <v>354.5</v>
      </c>
      <c r="F288" s="7">
        <v>362</v>
      </c>
      <c r="G288" s="7">
        <v>362</v>
      </c>
      <c r="H288" s="7">
        <v>355</v>
      </c>
      <c r="I288" s="7">
        <v>355</v>
      </c>
      <c r="J288" s="7">
        <v>358500</v>
      </c>
      <c r="K288" s="7">
        <v>1000</v>
      </c>
      <c r="L288" s="7">
        <v>367</v>
      </c>
      <c r="M288" s="7">
        <v>101.05</v>
      </c>
      <c r="N288" s="8">
        <f t="shared" si="1"/>
        <v>357.7</v>
      </c>
    </row>
    <row r="289" spans="1:14" ht="15">
      <c r="A289" s="6" t="s">
        <v>17</v>
      </c>
      <c r="B289" s="6" t="s">
        <v>18</v>
      </c>
      <c r="C289" s="6" t="s">
        <v>596</v>
      </c>
      <c r="D289" s="6" t="s">
        <v>597</v>
      </c>
      <c r="E289" s="7">
        <v>52.5</v>
      </c>
      <c r="F289" s="7">
        <v>52.5</v>
      </c>
      <c r="G289" s="7">
        <v>52.5</v>
      </c>
      <c r="H289" s="7">
        <v>52.5</v>
      </c>
      <c r="I289" s="7">
        <v>52.5</v>
      </c>
      <c r="J289" s="7">
        <v>84000</v>
      </c>
      <c r="K289" s="7">
        <v>1600</v>
      </c>
      <c r="L289" s="7">
        <v>95</v>
      </c>
      <c r="M289" s="7">
        <v>48.1</v>
      </c>
      <c r="N289" s="8">
        <f t="shared" si="1"/>
        <v>52.5</v>
      </c>
    </row>
    <row r="290" spans="1:14" ht="15">
      <c r="A290" s="6" t="s">
        <v>17</v>
      </c>
      <c r="B290" s="6" t="s">
        <v>18</v>
      </c>
      <c r="C290" s="6" t="s">
        <v>598</v>
      </c>
      <c r="D290" s="6" t="s">
        <v>599</v>
      </c>
      <c r="E290" s="7">
        <v>139.05000000000001</v>
      </c>
      <c r="F290" s="7">
        <v>135</v>
      </c>
      <c r="G290" s="7">
        <v>138</v>
      </c>
      <c r="H290" s="7">
        <v>134</v>
      </c>
      <c r="I290" s="7">
        <v>138</v>
      </c>
      <c r="J290" s="7">
        <v>162800</v>
      </c>
      <c r="K290" s="7">
        <v>1200</v>
      </c>
      <c r="L290" s="7">
        <v>216.8</v>
      </c>
      <c r="M290" s="7">
        <v>126.5</v>
      </c>
      <c r="N290" s="8">
        <f t="shared" si="1"/>
        <v>136.81</v>
      </c>
    </row>
    <row r="291" spans="1:14" ht="15">
      <c r="A291" s="6" t="s">
        <v>17</v>
      </c>
      <c r="B291" s="6" t="s">
        <v>18</v>
      </c>
      <c r="C291" s="6" t="s">
        <v>600</v>
      </c>
      <c r="D291" s="6" t="s">
        <v>601</v>
      </c>
      <c r="E291" s="7">
        <v>8.8000000000000007</v>
      </c>
      <c r="F291" s="7">
        <v>8.8000000000000007</v>
      </c>
      <c r="G291" s="7">
        <v>8.8000000000000007</v>
      </c>
      <c r="H291" s="7">
        <v>8.8000000000000007</v>
      </c>
      <c r="I291" s="7">
        <v>8.8000000000000007</v>
      </c>
      <c r="J291" s="7">
        <v>35200</v>
      </c>
      <c r="K291" s="7">
        <v>4000</v>
      </c>
      <c r="L291" s="7">
        <v>39</v>
      </c>
      <c r="M291" s="7">
        <v>8.6</v>
      </c>
      <c r="N291" s="8">
        <f t="shared" si="1"/>
        <v>8.8000000000000007</v>
      </c>
    </row>
    <row r="292" spans="1:14" ht="15">
      <c r="A292" s="6" t="s">
        <v>17</v>
      </c>
      <c r="B292" s="6" t="s">
        <v>18</v>
      </c>
      <c r="C292" s="6" t="s">
        <v>602</v>
      </c>
      <c r="D292" s="6" t="s">
        <v>603</v>
      </c>
      <c r="E292" s="7">
        <v>58.5</v>
      </c>
      <c r="F292" s="7">
        <v>59</v>
      </c>
      <c r="G292" s="7">
        <v>60</v>
      </c>
      <c r="H292" s="7">
        <v>57</v>
      </c>
      <c r="I292" s="7">
        <v>60</v>
      </c>
      <c r="J292" s="7">
        <v>524050</v>
      </c>
      <c r="K292" s="7">
        <v>9000</v>
      </c>
      <c r="L292" s="7">
        <v>121.1</v>
      </c>
      <c r="M292" s="7">
        <v>52.55</v>
      </c>
      <c r="N292" s="8">
        <f t="shared" si="1"/>
        <v>58.9</v>
      </c>
    </row>
    <row r="293" spans="1:14" ht="15">
      <c r="A293" s="6" t="s">
        <v>17</v>
      </c>
      <c r="B293" s="6" t="s">
        <v>18</v>
      </c>
      <c r="C293" s="6" t="s">
        <v>604</v>
      </c>
      <c r="D293" s="6" t="s">
        <v>605</v>
      </c>
      <c r="E293" s="7">
        <v>36.5</v>
      </c>
      <c r="F293" s="7">
        <v>36.1</v>
      </c>
      <c r="G293" s="7">
        <v>36.1</v>
      </c>
      <c r="H293" s="7">
        <v>36.1</v>
      </c>
      <c r="I293" s="7">
        <v>36.1</v>
      </c>
      <c r="J293" s="7">
        <v>324900</v>
      </c>
      <c r="K293" s="7">
        <v>9000</v>
      </c>
      <c r="L293" s="7">
        <v>44.25</v>
      </c>
      <c r="M293" s="7">
        <v>26.05</v>
      </c>
      <c r="N293" s="8">
        <f t="shared" si="1"/>
        <v>36.18</v>
      </c>
    </row>
    <row r="294" spans="1:14" ht="15">
      <c r="A294" s="6" t="s">
        <v>17</v>
      </c>
      <c r="B294" s="6" t="s">
        <v>18</v>
      </c>
      <c r="C294" s="6" t="s">
        <v>606</v>
      </c>
      <c r="D294" s="6" t="s">
        <v>607</v>
      </c>
      <c r="E294" s="7">
        <v>50.1</v>
      </c>
      <c r="F294" s="7">
        <v>42.55</v>
      </c>
      <c r="G294" s="7">
        <v>47.45</v>
      </c>
      <c r="H294" s="7">
        <v>42.55</v>
      </c>
      <c r="I294" s="7">
        <v>47.05</v>
      </c>
      <c r="J294" s="7">
        <v>1762080</v>
      </c>
      <c r="K294" s="7">
        <v>38400</v>
      </c>
      <c r="L294" s="7">
        <v>143</v>
      </c>
      <c r="M294" s="7">
        <v>42.55</v>
      </c>
      <c r="N294" s="8">
        <f t="shared" si="1"/>
        <v>45.940000000000005</v>
      </c>
    </row>
    <row r="295" spans="1:14" ht="15">
      <c r="A295" s="6" t="s">
        <v>17</v>
      </c>
      <c r="B295" s="6" t="s">
        <v>18</v>
      </c>
      <c r="C295" s="6" t="s">
        <v>608</v>
      </c>
      <c r="D295" s="6" t="s">
        <v>609</v>
      </c>
      <c r="E295" s="7">
        <v>81.45</v>
      </c>
      <c r="F295" s="7">
        <v>79.599999999999994</v>
      </c>
      <c r="G295" s="7">
        <v>82.2</v>
      </c>
      <c r="H295" s="7">
        <v>76.5</v>
      </c>
      <c r="I295" s="7">
        <v>77.2</v>
      </c>
      <c r="J295" s="7">
        <v>1755920</v>
      </c>
      <c r="K295" s="7">
        <v>22400</v>
      </c>
      <c r="L295" s="7">
        <v>123.65</v>
      </c>
      <c r="M295" s="7">
        <v>70.7</v>
      </c>
      <c r="N295" s="8">
        <f t="shared" si="1"/>
        <v>79.39</v>
      </c>
    </row>
    <row r="296" spans="1:14" ht="15">
      <c r="A296" s="6" t="s">
        <v>17</v>
      </c>
      <c r="B296" s="6" t="s">
        <v>18</v>
      </c>
      <c r="C296" s="6" t="s">
        <v>610</v>
      </c>
      <c r="D296" s="6" t="s">
        <v>611</v>
      </c>
      <c r="E296" s="7">
        <v>66</v>
      </c>
      <c r="F296" s="7">
        <v>64.05</v>
      </c>
      <c r="G296" s="7">
        <v>65</v>
      </c>
      <c r="H296" s="7">
        <v>64</v>
      </c>
      <c r="I296" s="7">
        <v>65</v>
      </c>
      <c r="J296" s="7">
        <v>386100</v>
      </c>
      <c r="K296" s="7">
        <v>6000</v>
      </c>
      <c r="L296" s="7">
        <v>197.25</v>
      </c>
      <c r="M296" s="7">
        <v>64</v>
      </c>
      <c r="N296" s="8">
        <f t="shared" si="1"/>
        <v>64.81</v>
      </c>
    </row>
    <row r="297" spans="1:14" ht="15">
      <c r="A297" s="6" t="s">
        <v>17</v>
      </c>
      <c r="B297" s="6" t="s">
        <v>18</v>
      </c>
      <c r="C297" s="6" t="s">
        <v>612</v>
      </c>
      <c r="D297" s="6" t="s">
        <v>613</v>
      </c>
      <c r="E297" s="7">
        <v>270.5</v>
      </c>
      <c r="F297" s="7">
        <v>270</v>
      </c>
      <c r="G297" s="7">
        <v>270</v>
      </c>
      <c r="H297" s="7">
        <v>261.05</v>
      </c>
      <c r="I297" s="7">
        <v>264.95</v>
      </c>
      <c r="J297" s="7">
        <v>4652640</v>
      </c>
      <c r="K297" s="7">
        <v>17600</v>
      </c>
      <c r="L297" s="7">
        <v>362</v>
      </c>
      <c r="M297" s="7">
        <v>105.1</v>
      </c>
      <c r="N297" s="8">
        <f t="shared" si="1"/>
        <v>267.3</v>
      </c>
    </row>
    <row r="298" spans="1:14" ht="15">
      <c r="A298" s="6" t="s">
        <v>17</v>
      </c>
      <c r="B298" s="6" t="s">
        <v>18</v>
      </c>
      <c r="C298" s="6" t="s">
        <v>614</v>
      </c>
      <c r="D298" s="6" t="s">
        <v>615</v>
      </c>
      <c r="E298" s="7">
        <v>72</v>
      </c>
      <c r="F298" s="7">
        <v>70</v>
      </c>
      <c r="G298" s="7">
        <v>70</v>
      </c>
      <c r="H298" s="7">
        <v>61</v>
      </c>
      <c r="I298" s="7">
        <v>64.05</v>
      </c>
      <c r="J298" s="7">
        <v>4841360</v>
      </c>
      <c r="K298" s="7">
        <v>75200</v>
      </c>
      <c r="L298" s="7">
        <v>136.9</v>
      </c>
      <c r="M298" s="7">
        <v>56.9</v>
      </c>
      <c r="N298" s="8">
        <f t="shared" si="1"/>
        <v>67.41</v>
      </c>
    </row>
    <row r="299" spans="1:14" ht="15">
      <c r="A299" s="6" t="s">
        <v>17</v>
      </c>
      <c r="B299" s="6" t="s">
        <v>18</v>
      </c>
      <c r="C299" s="6" t="s">
        <v>616</v>
      </c>
      <c r="D299" s="6" t="s">
        <v>617</v>
      </c>
      <c r="E299" s="7">
        <v>61.6</v>
      </c>
      <c r="F299" s="7">
        <v>64.599999999999994</v>
      </c>
      <c r="G299" s="7">
        <v>64.599999999999994</v>
      </c>
      <c r="H299" s="7">
        <v>64</v>
      </c>
      <c r="I299" s="7">
        <v>64</v>
      </c>
      <c r="J299" s="7">
        <v>258100</v>
      </c>
      <c r="K299" s="7">
        <v>4000</v>
      </c>
      <c r="L299" s="7">
        <v>273</v>
      </c>
      <c r="M299" s="7">
        <v>61.6</v>
      </c>
      <c r="N299" s="8">
        <f t="shared" si="1"/>
        <v>63.760000000000005</v>
      </c>
    </row>
    <row r="300" spans="1:14" ht="15">
      <c r="A300" s="6" t="s">
        <v>17</v>
      </c>
      <c r="B300" s="6" t="s">
        <v>18</v>
      </c>
      <c r="C300" s="6" t="s">
        <v>618</v>
      </c>
      <c r="D300" s="6" t="s">
        <v>619</v>
      </c>
      <c r="E300" s="7">
        <v>1201</v>
      </c>
      <c r="F300" s="7">
        <v>1200</v>
      </c>
      <c r="G300" s="7">
        <v>1217</v>
      </c>
      <c r="H300" s="7">
        <v>1180</v>
      </c>
      <c r="I300" s="7">
        <v>1200</v>
      </c>
      <c r="J300" s="7">
        <v>671760</v>
      </c>
      <c r="K300" s="7">
        <v>560</v>
      </c>
      <c r="L300" s="7">
        <v>1584</v>
      </c>
      <c r="M300" s="7">
        <v>815.1</v>
      </c>
      <c r="N300" s="8">
        <f t="shared" si="1"/>
        <v>1199.5999999999999</v>
      </c>
    </row>
    <row r="301" spans="1:14" ht="15">
      <c r="A301" s="6" t="s">
        <v>17</v>
      </c>
      <c r="B301" s="6" t="s">
        <v>18</v>
      </c>
      <c r="C301" s="6" t="s">
        <v>620</v>
      </c>
      <c r="D301" s="6" t="s">
        <v>621</v>
      </c>
      <c r="E301" s="7">
        <v>24.8</v>
      </c>
      <c r="F301" s="7">
        <v>24.8</v>
      </c>
      <c r="G301" s="7">
        <v>24.8</v>
      </c>
      <c r="H301" s="7">
        <v>23.65</v>
      </c>
      <c r="I301" s="7">
        <v>23.85</v>
      </c>
      <c r="J301" s="7">
        <v>526000</v>
      </c>
      <c r="K301" s="7">
        <v>22000</v>
      </c>
      <c r="L301" s="7">
        <v>62.9</v>
      </c>
      <c r="M301" s="7">
        <v>23.5</v>
      </c>
      <c r="N301" s="8">
        <f t="shared" si="1"/>
        <v>24.38</v>
      </c>
    </row>
    <row r="302" spans="1:14" ht="15">
      <c r="A302" s="6" t="s">
        <v>17</v>
      </c>
      <c r="B302" s="6" t="s">
        <v>18</v>
      </c>
      <c r="C302" s="6" t="s">
        <v>622</v>
      </c>
      <c r="D302" s="6" t="s">
        <v>623</v>
      </c>
      <c r="E302" s="7">
        <v>340.45</v>
      </c>
      <c r="F302" s="7">
        <v>357.45</v>
      </c>
      <c r="G302" s="7">
        <v>357.45</v>
      </c>
      <c r="H302" s="7">
        <v>323.45</v>
      </c>
      <c r="I302" s="7">
        <v>327.14999999999998</v>
      </c>
      <c r="J302" s="7">
        <v>26930300</v>
      </c>
      <c r="K302" s="7">
        <v>78750</v>
      </c>
      <c r="L302" s="7">
        <v>587.95000000000005</v>
      </c>
      <c r="M302" s="7">
        <v>119.55</v>
      </c>
      <c r="N302" s="8">
        <f t="shared" si="1"/>
        <v>341.19</v>
      </c>
    </row>
    <row r="303" spans="1:14" ht="15">
      <c r="A303" s="6" t="s">
        <v>17</v>
      </c>
      <c r="B303" s="6" t="s">
        <v>18</v>
      </c>
      <c r="C303" s="6" t="s">
        <v>624</v>
      </c>
      <c r="D303" s="6" t="s">
        <v>625</v>
      </c>
      <c r="E303" s="7">
        <v>67</v>
      </c>
      <c r="F303" s="7">
        <v>65.75</v>
      </c>
      <c r="G303" s="7">
        <v>66</v>
      </c>
      <c r="H303" s="7">
        <v>65.5</v>
      </c>
      <c r="I303" s="7">
        <v>66</v>
      </c>
      <c r="J303" s="7">
        <v>263000</v>
      </c>
      <c r="K303" s="7">
        <v>4000</v>
      </c>
      <c r="L303" s="7">
        <v>162</v>
      </c>
      <c r="M303" s="7">
        <v>65.5</v>
      </c>
      <c r="N303" s="8">
        <f t="shared" si="1"/>
        <v>66.05</v>
      </c>
    </row>
    <row r="304" spans="1:14" ht="15">
      <c r="A304" s="6" t="s">
        <v>17</v>
      </c>
      <c r="B304" s="6" t="s">
        <v>18</v>
      </c>
      <c r="C304" s="6" t="s">
        <v>626</v>
      </c>
      <c r="D304" s="6" t="s">
        <v>627</v>
      </c>
      <c r="E304" s="7">
        <v>100</v>
      </c>
      <c r="F304" s="7">
        <v>100</v>
      </c>
      <c r="G304" s="7">
        <v>100</v>
      </c>
      <c r="H304" s="7">
        <v>98.1</v>
      </c>
      <c r="I304" s="7">
        <v>100</v>
      </c>
      <c r="J304" s="7">
        <v>1294350</v>
      </c>
      <c r="K304" s="7">
        <v>13000</v>
      </c>
      <c r="L304" s="7">
        <v>148.75</v>
      </c>
      <c r="M304" s="7">
        <v>91</v>
      </c>
      <c r="N304" s="8">
        <f t="shared" si="1"/>
        <v>99.62</v>
      </c>
    </row>
    <row r="305" spans="1:14" ht="15">
      <c r="A305" s="6" t="s">
        <v>17</v>
      </c>
      <c r="B305" s="6" t="s">
        <v>18</v>
      </c>
      <c r="C305" s="6" t="s">
        <v>628</v>
      </c>
      <c r="D305" s="6" t="s">
        <v>629</v>
      </c>
      <c r="E305" s="7">
        <v>83.05</v>
      </c>
      <c r="F305" s="7">
        <v>82.4</v>
      </c>
      <c r="G305" s="7">
        <v>85</v>
      </c>
      <c r="H305" s="7">
        <v>80</v>
      </c>
      <c r="I305" s="7">
        <v>80</v>
      </c>
      <c r="J305" s="7">
        <v>985950</v>
      </c>
      <c r="K305" s="7">
        <v>12000</v>
      </c>
      <c r="L305" s="7">
        <v>114</v>
      </c>
      <c r="M305" s="7">
        <v>72.349999999999994</v>
      </c>
      <c r="N305" s="8">
        <f t="shared" si="1"/>
        <v>82.09</v>
      </c>
    </row>
    <row r="306" spans="1:14" ht="15">
      <c r="A306" s="6" t="s">
        <v>17</v>
      </c>
      <c r="B306" s="6" t="s">
        <v>18</v>
      </c>
      <c r="C306" s="6" t="s">
        <v>630</v>
      </c>
      <c r="D306" s="6" t="s">
        <v>631</v>
      </c>
      <c r="E306" s="7">
        <v>2.15</v>
      </c>
      <c r="F306" s="7">
        <v>2.15</v>
      </c>
      <c r="G306" s="7">
        <v>2.15</v>
      </c>
      <c r="H306" s="7">
        <v>2.15</v>
      </c>
      <c r="I306" s="7">
        <v>2.15</v>
      </c>
      <c r="J306" s="7">
        <v>25800</v>
      </c>
      <c r="K306" s="7">
        <v>12000</v>
      </c>
      <c r="L306" s="7">
        <v>4.6500000000000004</v>
      </c>
      <c r="M306" s="7">
        <v>2.15</v>
      </c>
      <c r="N306" s="8">
        <f t="shared" si="1"/>
        <v>2.15</v>
      </c>
    </row>
    <row r="307" spans="1:14" ht="15">
      <c r="A307" s="6" t="s">
        <v>17</v>
      </c>
      <c r="B307" s="6" t="s">
        <v>18</v>
      </c>
      <c r="C307" s="6" t="s">
        <v>632</v>
      </c>
      <c r="D307" s="6" t="s">
        <v>633</v>
      </c>
      <c r="E307" s="7">
        <v>98.9</v>
      </c>
      <c r="F307" s="7">
        <v>98.9</v>
      </c>
      <c r="G307" s="7">
        <v>98.9</v>
      </c>
      <c r="H307" s="7">
        <v>95.55</v>
      </c>
      <c r="I307" s="7">
        <v>98.9</v>
      </c>
      <c r="J307" s="7">
        <v>826680</v>
      </c>
      <c r="K307" s="7">
        <v>8400</v>
      </c>
      <c r="L307" s="7">
        <v>160</v>
      </c>
      <c r="M307" s="7">
        <v>75.150000000000006</v>
      </c>
      <c r="N307" s="8">
        <f t="shared" si="1"/>
        <v>98.22999999999999</v>
      </c>
    </row>
    <row r="308" spans="1:14" ht="15">
      <c r="A308" s="6" t="s">
        <v>17</v>
      </c>
      <c r="B308" s="6" t="s">
        <v>18</v>
      </c>
      <c r="C308" s="6" t="s">
        <v>634</v>
      </c>
      <c r="D308" s="6" t="s">
        <v>635</v>
      </c>
      <c r="E308" s="7">
        <v>30.95</v>
      </c>
      <c r="F308" s="7">
        <v>31.5</v>
      </c>
      <c r="G308" s="7">
        <v>32.9</v>
      </c>
      <c r="H308" s="7">
        <v>30.3</v>
      </c>
      <c r="I308" s="7">
        <v>32.4</v>
      </c>
      <c r="J308" s="7">
        <v>1132890</v>
      </c>
      <c r="K308" s="7">
        <v>36400</v>
      </c>
      <c r="L308" s="7">
        <v>53.9</v>
      </c>
      <c r="M308" s="7">
        <v>25.55</v>
      </c>
      <c r="N308" s="8">
        <f t="shared" si="1"/>
        <v>31.609999999999996</v>
      </c>
    </row>
    <row r="309" spans="1:14" ht="15">
      <c r="A309" s="6" t="s">
        <v>17</v>
      </c>
      <c r="B309" s="6" t="s">
        <v>18</v>
      </c>
      <c r="C309" s="6" t="s">
        <v>636</v>
      </c>
      <c r="D309" s="6" t="s">
        <v>637</v>
      </c>
      <c r="E309" s="7">
        <v>55.3</v>
      </c>
      <c r="F309" s="7">
        <v>55.3</v>
      </c>
      <c r="G309" s="7">
        <v>55.3</v>
      </c>
      <c r="H309" s="7">
        <v>55.3</v>
      </c>
      <c r="I309" s="7">
        <v>55.3</v>
      </c>
      <c r="J309" s="7">
        <v>88480</v>
      </c>
      <c r="K309" s="7">
        <v>1600</v>
      </c>
      <c r="L309" s="7">
        <v>103</v>
      </c>
      <c r="M309" s="7">
        <v>50</v>
      </c>
      <c r="N309" s="8">
        <f t="shared" si="1"/>
        <v>55.3</v>
      </c>
    </row>
    <row r="310" spans="1:14" ht="15">
      <c r="A310" s="6" t="s">
        <v>17</v>
      </c>
      <c r="B310" s="6" t="s">
        <v>18</v>
      </c>
      <c r="C310" s="6" t="s">
        <v>638</v>
      </c>
      <c r="D310" s="6" t="s">
        <v>639</v>
      </c>
      <c r="E310" s="7">
        <v>19.100000000000001</v>
      </c>
      <c r="F310" s="7">
        <v>20.8</v>
      </c>
      <c r="G310" s="7">
        <v>22.9</v>
      </c>
      <c r="H310" s="7">
        <v>20.8</v>
      </c>
      <c r="I310" s="7">
        <v>22.9</v>
      </c>
      <c r="J310" s="7">
        <v>1486800</v>
      </c>
      <c r="K310" s="7">
        <v>66000</v>
      </c>
      <c r="L310" s="7">
        <v>30.85</v>
      </c>
      <c r="M310" s="7">
        <v>16.5</v>
      </c>
      <c r="N310" s="8">
        <f t="shared" si="1"/>
        <v>21.3</v>
      </c>
    </row>
    <row r="311" spans="1:14" ht="15">
      <c r="A311" s="6" t="s">
        <v>17</v>
      </c>
      <c r="B311" s="6" t="s">
        <v>18</v>
      </c>
      <c r="C311" s="6" t="s">
        <v>640</v>
      </c>
      <c r="D311" s="6" t="s">
        <v>641</v>
      </c>
      <c r="E311" s="7">
        <v>238</v>
      </c>
      <c r="F311" s="7">
        <v>235</v>
      </c>
      <c r="G311" s="7">
        <v>235</v>
      </c>
      <c r="H311" s="7">
        <v>235</v>
      </c>
      <c r="I311" s="7">
        <v>235</v>
      </c>
      <c r="J311" s="7">
        <v>235000</v>
      </c>
      <c r="K311" s="7">
        <v>1000</v>
      </c>
      <c r="L311" s="7">
        <v>312.5</v>
      </c>
      <c r="M311" s="7">
        <v>173.15</v>
      </c>
      <c r="N311" s="8">
        <f t="shared" si="1"/>
        <v>235.6</v>
      </c>
    </row>
    <row r="312" spans="1:14" ht="15">
      <c r="A312" s="6" t="s">
        <v>17</v>
      </c>
      <c r="B312" s="6" t="s">
        <v>18</v>
      </c>
      <c r="C312" s="6" t="s">
        <v>642</v>
      </c>
      <c r="D312" s="6" t="s">
        <v>643</v>
      </c>
      <c r="E312" s="7">
        <v>74.05</v>
      </c>
      <c r="F312" s="7">
        <v>73</v>
      </c>
      <c r="G312" s="7">
        <v>84</v>
      </c>
      <c r="H312" s="7">
        <v>73</v>
      </c>
      <c r="I312" s="7">
        <v>82.5</v>
      </c>
      <c r="J312" s="7">
        <v>6487425</v>
      </c>
      <c r="K312" s="7">
        <v>79500</v>
      </c>
      <c r="L312" s="7">
        <v>101.9</v>
      </c>
      <c r="M312" s="7">
        <v>70.05</v>
      </c>
      <c r="N312" s="8">
        <f t="shared" si="1"/>
        <v>77.31</v>
      </c>
    </row>
    <row r="313" spans="1:14" ht="15">
      <c r="A313" s="6" t="s">
        <v>17</v>
      </c>
      <c r="B313" s="6" t="s">
        <v>18</v>
      </c>
      <c r="C313" s="6" t="s">
        <v>644</v>
      </c>
      <c r="D313" s="6" t="s">
        <v>645</v>
      </c>
      <c r="E313" s="7">
        <v>63.7</v>
      </c>
      <c r="F313" s="7">
        <v>63.6</v>
      </c>
      <c r="G313" s="7">
        <v>63.6</v>
      </c>
      <c r="H313" s="7">
        <v>63.55</v>
      </c>
      <c r="I313" s="7">
        <v>63.55</v>
      </c>
      <c r="J313" s="7">
        <v>254300</v>
      </c>
      <c r="K313" s="7">
        <v>4000</v>
      </c>
      <c r="L313" s="7">
        <v>75</v>
      </c>
      <c r="M313" s="7">
        <v>54</v>
      </c>
      <c r="N313" s="8">
        <f t="shared" si="1"/>
        <v>63.6</v>
      </c>
    </row>
    <row r="314" spans="1:14" ht="15">
      <c r="A314" s="6" t="s">
        <v>17</v>
      </c>
      <c r="B314" s="6" t="s">
        <v>18</v>
      </c>
      <c r="C314" s="6" t="s">
        <v>646</v>
      </c>
      <c r="D314" s="6" t="s">
        <v>647</v>
      </c>
      <c r="E314" s="7">
        <v>93</v>
      </c>
      <c r="F314" s="7">
        <v>92</v>
      </c>
      <c r="G314" s="7">
        <v>92.5</v>
      </c>
      <c r="H314" s="7">
        <v>91</v>
      </c>
      <c r="I314" s="7">
        <v>91.75</v>
      </c>
      <c r="J314" s="7">
        <v>294000</v>
      </c>
      <c r="K314" s="7">
        <v>3200</v>
      </c>
      <c r="L314" s="7">
        <v>143</v>
      </c>
      <c r="M314" s="7">
        <v>81.599999999999994</v>
      </c>
      <c r="N314" s="8">
        <f t="shared" si="1"/>
        <v>92.05</v>
      </c>
    </row>
    <row r="315" spans="1:14" ht="15">
      <c r="A315" s="6" t="s">
        <v>17</v>
      </c>
      <c r="B315" s="6" t="s">
        <v>18</v>
      </c>
      <c r="C315" s="6" t="s">
        <v>648</v>
      </c>
      <c r="D315" s="6" t="s">
        <v>649</v>
      </c>
      <c r="E315" s="7">
        <v>245</v>
      </c>
      <c r="F315" s="7">
        <v>252.9</v>
      </c>
      <c r="G315" s="7">
        <v>252.9</v>
      </c>
      <c r="H315" s="7">
        <v>233</v>
      </c>
      <c r="I315" s="7">
        <v>234.95</v>
      </c>
      <c r="J315" s="7">
        <v>2986170</v>
      </c>
      <c r="K315" s="7">
        <v>12600</v>
      </c>
      <c r="L315" s="7">
        <v>384.9</v>
      </c>
      <c r="M315" s="7">
        <v>215.2</v>
      </c>
      <c r="N315" s="8">
        <f t="shared" si="1"/>
        <v>243.75</v>
      </c>
    </row>
    <row r="316" spans="1:14" ht="15">
      <c r="A316" s="6" t="s">
        <v>17</v>
      </c>
      <c r="B316" s="6" t="s">
        <v>18</v>
      </c>
      <c r="C316" s="6" t="s">
        <v>650</v>
      </c>
      <c r="D316" s="6" t="s">
        <v>651</v>
      </c>
      <c r="E316" s="7">
        <v>350</v>
      </c>
      <c r="F316" s="7">
        <v>347.95</v>
      </c>
      <c r="G316" s="7">
        <v>347.95</v>
      </c>
      <c r="H316" s="7">
        <v>310</v>
      </c>
      <c r="I316" s="7">
        <v>319.55</v>
      </c>
      <c r="J316" s="7">
        <v>3734940</v>
      </c>
      <c r="K316" s="7">
        <v>11400</v>
      </c>
      <c r="L316" s="7">
        <v>595.85</v>
      </c>
      <c r="M316" s="7">
        <v>249.85</v>
      </c>
      <c r="N316" s="8">
        <f t="shared" si="1"/>
        <v>335.09000000000003</v>
      </c>
    </row>
    <row r="317" spans="1:14" ht="15">
      <c r="A317" s="6" t="s">
        <v>17</v>
      </c>
      <c r="B317" s="6" t="s">
        <v>18</v>
      </c>
      <c r="C317" s="6" t="s">
        <v>652</v>
      </c>
      <c r="D317" s="6" t="s">
        <v>653</v>
      </c>
      <c r="E317" s="7">
        <v>102</v>
      </c>
      <c r="F317" s="7">
        <v>102</v>
      </c>
      <c r="G317" s="7">
        <v>102</v>
      </c>
      <c r="H317" s="7">
        <v>102</v>
      </c>
      <c r="I317" s="7">
        <v>102</v>
      </c>
      <c r="J317" s="7">
        <v>102000</v>
      </c>
      <c r="K317" s="7">
        <v>1000</v>
      </c>
      <c r="L317" s="7">
        <v>175</v>
      </c>
      <c r="M317" s="7">
        <v>55.2</v>
      </c>
      <c r="N317" s="8">
        <f t="shared" si="1"/>
        <v>102</v>
      </c>
    </row>
    <row r="318" spans="1:14" ht="15">
      <c r="A318" s="6" t="s">
        <v>17</v>
      </c>
      <c r="B318" s="6" t="s">
        <v>18</v>
      </c>
      <c r="C318" s="6" t="s">
        <v>654</v>
      </c>
      <c r="D318" s="6" t="s">
        <v>655</v>
      </c>
      <c r="E318" s="7">
        <v>46.7</v>
      </c>
      <c r="F318" s="7">
        <v>46.9</v>
      </c>
      <c r="G318" s="7">
        <v>46.95</v>
      </c>
      <c r="H318" s="7">
        <v>46</v>
      </c>
      <c r="I318" s="7">
        <v>46</v>
      </c>
      <c r="J318" s="7">
        <v>139850</v>
      </c>
      <c r="K318" s="7">
        <v>3000</v>
      </c>
      <c r="L318" s="7">
        <v>92.8</v>
      </c>
      <c r="M318" s="7">
        <v>39</v>
      </c>
      <c r="N318" s="8">
        <f t="shared" si="1"/>
        <v>46.510000000000005</v>
      </c>
    </row>
    <row r="319" spans="1:14" ht="15">
      <c r="A319" s="6" t="s">
        <v>17</v>
      </c>
      <c r="B319" s="6" t="s">
        <v>18</v>
      </c>
      <c r="C319" s="6" t="s">
        <v>656</v>
      </c>
      <c r="D319" s="6" t="s">
        <v>657</v>
      </c>
      <c r="E319" s="7">
        <v>651.54999999999995</v>
      </c>
      <c r="F319" s="7">
        <v>645</v>
      </c>
      <c r="G319" s="7">
        <v>650</v>
      </c>
      <c r="H319" s="7">
        <v>631.04999999999995</v>
      </c>
      <c r="I319" s="7">
        <v>636.54999999999995</v>
      </c>
      <c r="J319" s="7">
        <v>957665</v>
      </c>
      <c r="K319" s="7">
        <v>1500</v>
      </c>
      <c r="L319" s="7">
        <v>2419.9499999999998</v>
      </c>
      <c r="M319" s="7">
        <v>611.04999999999995</v>
      </c>
      <c r="N319" s="8">
        <f t="shared" si="1"/>
        <v>642.82999999999993</v>
      </c>
    </row>
    <row r="320" spans="1:14" ht="15">
      <c r="A320" s="6" t="s">
        <v>17</v>
      </c>
      <c r="B320" s="6" t="s">
        <v>35</v>
      </c>
      <c r="C320" s="6" t="s">
        <v>658</v>
      </c>
      <c r="D320" s="6" t="s">
        <v>659</v>
      </c>
      <c r="E320" s="7">
        <v>147</v>
      </c>
      <c r="F320" s="7">
        <v>150.5</v>
      </c>
      <c r="G320" s="7">
        <v>150.85</v>
      </c>
      <c r="H320" s="7">
        <v>146.5</v>
      </c>
      <c r="I320" s="7">
        <v>146.85</v>
      </c>
      <c r="J320" s="7">
        <v>4963980</v>
      </c>
      <c r="K320" s="7">
        <v>33600</v>
      </c>
      <c r="L320" s="7">
        <v>158</v>
      </c>
      <c r="M320" s="7">
        <v>69</v>
      </c>
      <c r="N320" s="8">
        <f t="shared" si="1"/>
        <v>148.34</v>
      </c>
    </row>
    <row r="321" spans="1:14" ht="15">
      <c r="A321" s="6" t="s">
        <v>17</v>
      </c>
      <c r="B321" s="6" t="s">
        <v>18</v>
      </c>
      <c r="C321" s="6" t="s">
        <v>660</v>
      </c>
      <c r="D321" s="6" t="s">
        <v>661</v>
      </c>
      <c r="E321" s="7">
        <v>145.9</v>
      </c>
      <c r="F321" s="7">
        <v>147</v>
      </c>
      <c r="G321" s="7">
        <v>147</v>
      </c>
      <c r="H321" s="7">
        <v>147</v>
      </c>
      <c r="I321" s="7">
        <v>147</v>
      </c>
      <c r="J321" s="7">
        <v>147000</v>
      </c>
      <c r="K321" s="7">
        <v>1000</v>
      </c>
      <c r="L321" s="7">
        <v>171</v>
      </c>
      <c r="M321" s="7">
        <v>57</v>
      </c>
      <c r="N321" s="8">
        <f t="shared" si="1"/>
        <v>146.78</v>
      </c>
    </row>
    <row r="322" spans="1:14" ht="15">
      <c r="A322" s="6" t="s">
        <v>17</v>
      </c>
      <c r="B322" s="6" t="s">
        <v>18</v>
      </c>
      <c r="C322" s="6" t="s">
        <v>662</v>
      </c>
      <c r="D322" s="6" t="s">
        <v>663</v>
      </c>
      <c r="E322" s="7">
        <v>47.25</v>
      </c>
      <c r="F322" s="7">
        <v>47</v>
      </c>
      <c r="G322" s="7">
        <v>47.15</v>
      </c>
      <c r="H322" s="7">
        <v>47</v>
      </c>
      <c r="I322" s="7">
        <v>47.15</v>
      </c>
      <c r="J322" s="7">
        <v>1037000</v>
      </c>
      <c r="K322" s="7">
        <v>22000</v>
      </c>
      <c r="L322" s="7">
        <v>120</v>
      </c>
      <c r="M322" s="7">
        <v>41.6</v>
      </c>
      <c r="N322" s="8">
        <f t="shared" si="1"/>
        <v>47.11</v>
      </c>
    </row>
    <row r="323" spans="1:14" ht="15">
      <c r="A323" s="6" t="s">
        <v>17</v>
      </c>
      <c r="B323" s="6" t="s">
        <v>35</v>
      </c>
      <c r="C323" s="6" t="s">
        <v>664</v>
      </c>
      <c r="D323" s="6" t="s">
        <v>665</v>
      </c>
      <c r="E323" s="7">
        <v>57</v>
      </c>
      <c r="F323" s="7">
        <v>57.1</v>
      </c>
      <c r="G323" s="7">
        <v>58.1</v>
      </c>
      <c r="H323" s="7">
        <v>54.15</v>
      </c>
      <c r="I323" s="7">
        <v>58.1</v>
      </c>
      <c r="J323" s="7">
        <v>2820150</v>
      </c>
      <c r="K323" s="7">
        <v>49000</v>
      </c>
      <c r="L323" s="7">
        <v>102.05</v>
      </c>
      <c r="M323" s="7">
        <v>50</v>
      </c>
      <c r="N323" s="8">
        <f t="shared" si="1"/>
        <v>56.89</v>
      </c>
    </row>
    <row r="324" spans="1:14" ht="15">
      <c r="A324" s="6" t="s">
        <v>17</v>
      </c>
      <c r="B324" s="6" t="s">
        <v>18</v>
      </c>
      <c r="C324" s="6" t="s">
        <v>666</v>
      </c>
      <c r="D324" s="6" t="s">
        <v>667</v>
      </c>
      <c r="E324" s="7">
        <v>20</v>
      </c>
      <c r="F324" s="7">
        <v>20</v>
      </c>
      <c r="G324" s="7">
        <v>20</v>
      </c>
      <c r="H324" s="7">
        <v>20</v>
      </c>
      <c r="I324" s="7">
        <v>20</v>
      </c>
      <c r="J324" s="7">
        <v>224000</v>
      </c>
      <c r="K324" s="7">
        <v>11200</v>
      </c>
      <c r="L324" s="7">
        <v>40.6</v>
      </c>
      <c r="M324" s="7">
        <v>19.850000000000001</v>
      </c>
      <c r="N324" s="8">
        <f t="shared" si="1"/>
        <v>20</v>
      </c>
    </row>
    <row r="325" spans="1:14" ht="15">
      <c r="A325" s="6" t="s">
        <v>17</v>
      </c>
      <c r="B325" s="6" t="s">
        <v>18</v>
      </c>
      <c r="C325" s="6" t="s">
        <v>668</v>
      </c>
      <c r="D325" s="6" t="s">
        <v>669</v>
      </c>
      <c r="E325" s="7">
        <v>296.60000000000002</v>
      </c>
      <c r="F325" s="7">
        <v>298</v>
      </c>
      <c r="G325" s="7">
        <v>308</v>
      </c>
      <c r="H325" s="7">
        <v>298</v>
      </c>
      <c r="I325" s="7">
        <v>305</v>
      </c>
      <c r="J325" s="7">
        <v>5094240</v>
      </c>
      <c r="K325" s="7">
        <v>16800</v>
      </c>
      <c r="L325" s="7">
        <v>404</v>
      </c>
      <c r="M325" s="7">
        <v>205</v>
      </c>
      <c r="N325" s="8">
        <f t="shared" si="1"/>
        <v>301.12</v>
      </c>
    </row>
    <row r="326" spans="1:14" ht="15">
      <c r="A326" s="6" t="s">
        <v>17</v>
      </c>
      <c r="B326" s="6" t="s">
        <v>35</v>
      </c>
      <c r="C326" s="6" t="s">
        <v>670</v>
      </c>
      <c r="D326" s="6" t="s">
        <v>671</v>
      </c>
      <c r="E326" s="7">
        <v>211</v>
      </c>
      <c r="F326" s="7">
        <v>211</v>
      </c>
      <c r="G326" s="7">
        <v>221.1</v>
      </c>
      <c r="H326" s="7">
        <v>200.45</v>
      </c>
      <c r="I326" s="7">
        <v>211.15</v>
      </c>
      <c r="J326" s="7">
        <v>1112838</v>
      </c>
      <c r="K326" s="7">
        <v>5250</v>
      </c>
      <c r="L326" s="7">
        <v>573</v>
      </c>
      <c r="M326" s="7">
        <v>160.55000000000001</v>
      </c>
      <c r="N326" s="8">
        <f t="shared" si="1"/>
        <v>210.93999999999997</v>
      </c>
    </row>
    <row r="327" spans="1:14" ht="15">
      <c r="A327" s="6" t="s">
        <v>17</v>
      </c>
      <c r="B327" s="6" t="s">
        <v>18</v>
      </c>
      <c r="C327" s="6" t="s">
        <v>672</v>
      </c>
      <c r="D327" s="6" t="s">
        <v>673</v>
      </c>
      <c r="E327" s="7">
        <v>35.15</v>
      </c>
      <c r="F327" s="7">
        <v>33.700000000000003</v>
      </c>
      <c r="G327" s="7">
        <v>34.950000000000003</v>
      </c>
      <c r="H327" s="7">
        <v>33.700000000000003</v>
      </c>
      <c r="I327" s="7">
        <v>34.5</v>
      </c>
      <c r="J327" s="7">
        <v>441040</v>
      </c>
      <c r="K327" s="7">
        <v>12800</v>
      </c>
      <c r="L327" s="7">
        <v>79</v>
      </c>
      <c r="M327" s="7">
        <v>33.700000000000003</v>
      </c>
      <c r="N327" s="8">
        <f t="shared" si="1"/>
        <v>34.400000000000006</v>
      </c>
    </row>
    <row r="328" spans="1:14" ht="15">
      <c r="A328" s="6" t="s">
        <v>17</v>
      </c>
      <c r="B328" s="6" t="s">
        <v>18</v>
      </c>
      <c r="C328" s="6" t="s">
        <v>674</v>
      </c>
      <c r="D328" s="6" t="s">
        <v>675</v>
      </c>
      <c r="E328" s="7">
        <v>103.1</v>
      </c>
      <c r="F328" s="7">
        <v>103.1</v>
      </c>
      <c r="G328" s="7">
        <v>109</v>
      </c>
      <c r="H328" s="7">
        <v>103.1</v>
      </c>
      <c r="I328" s="7">
        <v>106.6</v>
      </c>
      <c r="J328" s="7">
        <v>160305</v>
      </c>
      <c r="K328" s="7">
        <v>1500</v>
      </c>
      <c r="L328" s="7">
        <v>222</v>
      </c>
      <c r="M328" s="7">
        <v>98</v>
      </c>
      <c r="N328" s="8">
        <f t="shared" si="1"/>
        <v>104.97999999999999</v>
      </c>
    </row>
    <row r="329" spans="1:14" ht="15">
      <c r="A329" s="6" t="s">
        <v>17</v>
      </c>
      <c r="B329" s="6" t="s">
        <v>35</v>
      </c>
      <c r="C329" s="6" t="s">
        <v>676</v>
      </c>
      <c r="D329" s="6" t="s">
        <v>677</v>
      </c>
      <c r="E329" s="7">
        <v>50.65</v>
      </c>
      <c r="F329" s="7">
        <v>48.5</v>
      </c>
      <c r="G329" s="7">
        <v>50.6</v>
      </c>
      <c r="H329" s="7">
        <v>48.15</v>
      </c>
      <c r="I329" s="7">
        <v>49.6</v>
      </c>
      <c r="J329" s="7">
        <v>969200</v>
      </c>
      <c r="K329" s="7">
        <v>20000</v>
      </c>
      <c r="L329" s="7">
        <v>96.9</v>
      </c>
      <c r="M329" s="7">
        <v>31.8</v>
      </c>
      <c r="N329" s="8">
        <f t="shared" si="1"/>
        <v>49.5</v>
      </c>
    </row>
    <row r="330" spans="1:14" ht="15">
      <c r="A330" s="6" t="s">
        <v>17</v>
      </c>
      <c r="B330" s="6" t="s">
        <v>18</v>
      </c>
      <c r="C330" s="6" t="s">
        <v>678</v>
      </c>
      <c r="D330" s="6" t="s">
        <v>679</v>
      </c>
      <c r="E330" s="7">
        <v>83</v>
      </c>
      <c r="F330" s="7">
        <v>83</v>
      </c>
      <c r="G330" s="7">
        <v>84.9</v>
      </c>
      <c r="H330" s="7">
        <v>83</v>
      </c>
      <c r="I330" s="7">
        <v>84.9</v>
      </c>
      <c r="J330" s="7">
        <v>504900</v>
      </c>
      <c r="K330" s="7">
        <v>6000</v>
      </c>
      <c r="L330" s="7">
        <v>161</v>
      </c>
      <c r="M330" s="7">
        <v>73</v>
      </c>
      <c r="N330" s="8">
        <f t="shared" si="1"/>
        <v>83.76</v>
      </c>
    </row>
    <row r="331" spans="1:14" ht="15">
      <c r="A331" s="6" t="s">
        <v>17</v>
      </c>
      <c r="B331" s="6" t="s">
        <v>18</v>
      </c>
      <c r="C331" s="6" t="s">
        <v>680</v>
      </c>
      <c r="D331" s="6" t="s">
        <v>681</v>
      </c>
      <c r="E331" s="7">
        <v>332.3</v>
      </c>
      <c r="F331" s="7">
        <v>336</v>
      </c>
      <c r="G331" s="7">
        <v>336</v>
      </c>
      <c r="H331" s="7">
        <v>312.3</v>
      </c>
      <c r="I331" s="7">
        <v>321.60000000000002</v>
      </c>
      <c r="J331" s="7">
        <v>3873688</v>
      </c>
      <c r="K331" s="7">
        <v>12000</v>
      </c>
      <c r="L331" s="7">
        <v>685</v>
      </c>
      <c r="M331" s="7">
        <v>300</v>
      </c>
      <c r="N331" s="8">
        <f t="shared" si="1"/>
        <v>327.64</v>
      </c>
    </row>
    <row r="332" spans="1:14" ht="15">
      <c r="A332" s="6" t="s">
        <v>17</v>
      </c>
      <c r="B332" s="6" t="s">
        <v>18</v>
      </c>
      <c r="C332" s="6" t="s">
        <v>682</v>
      </c>
      <c r="D332" s="6" t="s">
        <v>683</v>
      </c>
      <c r="E332" s="7">
        <v>190</v>
      </c>
      <c r="F332" s="7">
        <v>185</v>
      </c>
      <c r="G332" s="7">
        <v>191</v>
      </c>
      <c r="H332" s="7">
        <v>183.15</v>
      </c>
      <c r="I332" s="7">
        <v>189.25</v>
      </c>
      <c r="J332" s="7">
        <v>4397100</v>
      </c>
      <c r="K332" s="7">
        <v>23400</v>
      </c>
      <c r="L332" s="7">
        <v>217.7</v>
      </c>
      <c r="M332" s="7">
        <v>118</v>
      </c>
      <c r="N332" s="8">
        <f t="shared" si="1"/>
        <v>187.68</v>
      </c>
    </row>
    <row r="333" spans="1:14" ht="15">
      <c r="A333" s="6" t="s">
        <v>17</v>
      </c>
      <c r="B333" s="6" t="s">
        <v>35</v>
      </c>
      <c r="C333" s="6" t="s">
        <v>684</v>
      </c>
      <c r="D333" s="6" t="s">
        <v>685</v>
      </c>
      <c r="E333" s="7">
        <v>5.75</v>
      </c>
      <c r="F333" s="7">
        <v>5.75</v>
      </c>
      <c r="G333" s="7">
        <v>6</v>
      </c>
      <c r="H333" s="7">
        <v>5.75</v>
      </c>
      <c r="I333" s="7">
        <v>6</v>
      </c>
      <c r="J333" s="7">
        <v>235750</v>
      </c>
      <c r="K333" s="7">
        <v>40000</v>
      </c>
      <c r="L333" s="7">
        <v>10.85</v>
      </c>
      <c r="M333" s="7">
        <v>3.8</v>
      </c>
      <c r="N333" s="8">
        <f t="shared" si="1"/>
        <v>5.85</v>
      </c>
    </row>
    <row r="334" spans="1:14" ht="15">
      <c r="A334" s="6" t="s">
        <v>17</v>
      </c>
      <c r="B334" s="6" t="s">
        <v>35</v>
      </c>
      <c r="C334" s="6" t="s">
        <v>686</v>
      </c>
      <c r="D334" s="6" t="s">
        <v>687</v>
      </c>
      <c r="E334" s="7">
        <v>369</v>
      </c>
      <c r="F334" s="7">
        <v>365</v>
      </c>
      <c r="G334" s="7">
        <v>377</v>
      </c>
      <c r="H334" s="7">
        <v>364.05</v>
      </c>
      <c r="I334" s="7">
        <v>372.5</v>
      </c>
      <c r="J334" s="7">
        <v>2206830</v>
      </c>
      <c r="K334" s="7">
        <v>6000</v>
      </c>
      <c r="L334" s="7">
        <v>430.65</v>
      </c>
      <c r="M334" s="7">
        <v>140.5</v>
      </c>
      <c r="N334" s="8">
        <f t="shared" si="1"/>
        <v>369.51</v>
      </c>
    </row>
    <row r="335" spans="1:14" ht="15">
      <c r="A335" s="6" t="s">
        <v>17</v>
      </c>
      <c r="B335" s="6" t="s">
        <v>18</v>
      </c>
      <c r="C335" s="6" t="s">
        <v>688</v>
      </c>
      <c r="D335" s="6" t="s">
        <v>689</v>
      </c>
      <c r="E335" s="7">
        <v>221.5</v>
      </c>
      <c r="F335" s="7">
        <v>225</v>
      </c>
      <c r="G335" s="7">
        <v>232.5</v>
      </c>
      <c r="H335" s="7">
        <v>225</v>
      </c>
      <c r="I335" s="7">
        <v>230.5</v>
      </c>
      <c r="J335" s="7">
        <v>8604800</v>
      </c>
      <c r="K335" s="7">
        <v>37500</v>
      </c>
      <c r="L335" s="7">
        <v>319</v>
      </c>
      <c r="M335" s="7">
        <v>151</v>
      </c>
      <c r="N335" s="8">
        <f t="shared" si="1"/>
        <v>226.9</v>
      </c>
    </row>
    <row r="336" spans="1:14" ht="15">
      <c r="A336" s="6" t="s">
        <v>17</v>
      </c>
      <c r="B336" s="6" t="s">
        <v>18</v>
      </c>
      <c r="C336" s="6" t="s">
        <v>690</v>
      </c>
      <c r="D336" s="6" t="s">
        <v>691</v>
      </c>
      <c r="E336" s="7">
        <v>145.35</v>
      </c>
      <c r="F336" s="7">
        <v>150</v>
      </c>
      <c r="G336" s="7">
        <v>150</v>
      </c>
      <c r="H336" s="7">
        <v>142.05000000000001</v>
      </c>
      <c r="I336" s="7">
        <v>142.9</v>
      </c>
      <c r="J336" s="7">
        <v>2546760</v>
      </c>
      <c r="K336" s="7">
        <v>17600</v>
      </c>
      <c r="L336" s="7">
        <v>525</v>
      </c>
      <c r="M336" s="7">
        <v>138.15</v>
      </c>
      <c r="N336" s="8">
        <f t="shared" si="1"/>
        <v>146.06</v>
      </c>
    </row>
    <row r="337" spans="1:14" ht="15">
      <c r="A337" s="6" t="s">
        <v>17</v>
      </c>
      <c r="B337" s="6" t="s">
        <v>18</v>
      </c>
      <c r="C337" s="6" t="s">
        <v>692</v>
      </c>
      <c r="D337" s="6" t="s">
        <v>693</v>
      </c>
      <c r="E337" s="7">
        <v>868.5</v>
      </c>
      <c r="F337" s="7">
        <v>885</v>
      </c>
      <c r="G337" s="7">
        <v>899.1</v>
      </c>
      <c r="H337" s="7">
        <v>875</v>
      </c>
      <c r="I337" s="7">
        <v>889</v>
      </c>
      <c r="J337" s="7">
        <v>11264606</v>
      </c>
      <c r="K337" s="7">
        <v>12750</v>
      </c>
      <c r="L337" s="7">
        <v>1735</v>
      </c>
      <c r="M337" s="7">
        <v>685</v>
      </c>
      <c r="N337" s="8">
        <f t="shared" si="1"/>
        <v>883.32</v>
      </c>
    </row>
    <row r="338" spans="1:14" ht="15">
      <c r="A338" s="6" t="s">
        <v>17</v>
      </c>
      <c r="B338" s="6" t="s">
        <v>18</v>
      </c>
      <c r="C338" s="6" t="s">
        <v>694</v>
      </c>
      <c r="D338" s="6" t="s">
        <v>695</v>
      </c>
      <c r="E338" s="7">
        <v>252.45</v>
      </c>
      <c r="F338" s="7">
        <v>250</v>
      </c>
      <c r="G338" s="7">
        <v>253.5</v>
      </c>
      <c r="H338" s="7">
        <v>241.35</v>
      </c>
      <c r="I338" s="7">
        <v>248.4</v>
      </c>
      <c r="J338" s="7">
        <v>37890340</v>
      </c>
      <c r="K338" s="7">
        <v>152000</v>
      </c>
      <c r="L338" s="7">
        <v>515.54999999999995</v>
      </c>
      <c r="M338" s="7">
        <v>227.5</v>
      </c>
      <c r="N338" s="8">
        <f t="shared" si="1"/>
        <v>249.14000000000001</v>
      </c>
    </row>
    <row r="339" spans="1:14" ht="15">
      <c r="A339" s="6" t="s">
        <v>17</v>
      </c>
      <c r="B339" s="6" t="s">
        <v>35</v>
      </c>
      <c r="C339" s="6" t="s">
        <v>696</v>
      </c>
      <c r="D339" s="6" t="s">
        <v>697</v>
      </c>
      <c r="E339" s="7">
        <v>47.4</v>
      </c>
      <c r="F339" s="7">
        <v>48.8</v>
      </c>
      <c r="G339" s="7">
        <v>49.75</v>
      </c>
      <c r="H339" s="7">
        <v>47.6</v>
      </c>
      <c r="I339" s="7">
        <v>47.6</v>
      </c>
      <c r="J339" s="7">
        <v>2945200</v>
      </c>
      <c r="K339" s="7">
        <v>60000</v>
      </c>
      <c r="L339" s="7">
        <v>51.3</v>
      </c>
      <c r="M339" s="7">
        <v>28.8</v>
      </c>
      <c r="N339" s="8">
        <f t="shared" si="1"/>
        <v>48.230000000000004</v>
      </c>
    </row>
    <row r="340" spans="1:14" ht="15">
      <c r="A340" s="6" t="s">
        <v>17</v>
      </c>
      <c r="B340" s="6" t="s">
        <v>18</v>
      </c>
      <c r="C340" s="6" t="s">
        <v>698</v>
      </c>
      <c r="D340" s="6" t="s">
        <v>699</v>
      </c>
      <c r="E340" s="7">
        <v>11</v>
      </c>
      <c r="F340" s="7">
        <v>11</v>
      </c>
      <c r="G340" s="7">
        <v>11</v>
      </c>
      <c r="H340" s="7">
        <v>11</v>
      </c>
      <c r="I340" s="7">
        <v>11</v>
      </c>
      <c r="J340" s="7">
        <v>132000</v>
      </c>
      <c r="K340" s="7">
        <v>12000</v>
      </c>
      <c r="L340" s="7">
        <v>111.9</v>
      </c>
      <c r="M340" s="7">
        <v>10.45</v>
      </c>
      <c r="N340" s="8">
        <f t="shared" si="1"/>
        <v>11</v>
      </c>
    </row>
    <row r="341" spans="1:14" ht="15">
      <c r="A341" s="6" t="s">
        <v>17</v>
      </c>
      <c r="B341" s="6" t="s">
        <v>18</v>
      </c>
      <c r="C341" s="6" t="s">
        <v>700</v>
      </c>
      <c r="D341" s="6" t="s">
        <v>701</v>
      </c>
      <c r="E341" s="7">
        <v>47</v>
      </c>
      <c r="F341" s="7">
        <v>46</v>
      </c>
      <c r="G341" s="7">
        <v>46.9</v>
      </c>
      <c r="H341" s="7">
        <v>46</v>
      </c>
      <c r="I341" s="7">
        <v>46.9</v>
      </c>
      <c r="J341" s="7">
        <v>139350</v>
      </c>
      <c r="K341" s="7">
        <v>3000</v>
      </c>
      <c r="L341" s="7">
        <v>77</v>
      </c>
      <c r="M341" s="7">
        <v>43.8</v>
      </c>
      <c r="N341" s="8">
        <f t="shared" si="1"/>
        <v>46.56</v>
      </c>
    </row>
    <row r="342" spans="1:14" ht="15">
      <c r="A342" s="6" t="s">
        <v>17</v>
      </c>
      <c r="B342" s="6" t="s">
        <v>18</v>
      </c>
      <c r="C342" s="6" t="s">
        <v>702</v>
      </c>
      <c r="D342" s="6" t="s">
        <v>703</v>
      </c>
      <c r="E342" s="7">
        <v>218.95</v>
      </c>
      <c r="F342" s="7">
        <v>221.5</v>
      </c>
      <c r="G342" s="7">
        <v>222.55</v>
      </c>
      <c r="H342" s="7">
        <v>203</v>
      </c>
      <c r="I342" s="7">
        <v>206.25</v>
      </c>
      <c r="J342" s="9">
        <v>127000000</v>
      </c>
      <c r="K342" s="7">
        <v>614000</v>
      </c>
      <c r="L342" s="7">
        <v>302.95</v>
      </c>
      <c r="M342" s="7">
        <v>162</v>
      </c>
      <c r="N342" s="8">
        <f t="shared" si="1"/>
        <v>214.45</v>
      </c>
    </row>
    <row r="343" spans="1:14" ht="15">
      <c r="A343" s="6" t="s">
        <v>17</v>
      </c>
      <c r="B343" s="6" t="s">
        <v>18</v>
      </c>
      <c r="C343" s="6" t="s">
        <v>704</v>
      </c>
      <c r="D343" s="6" t="s">
        <v>705</v>
      </c>
      <c r="E343" s="7">
        <v>140</v>
      </c>
      <c r="F343" s="7">
        <v>136.1</v>
      </c>
      <c r="G343" s="7">
        <v>149.5</v>
      </c>
      <c r="H343" s="7">
        <v>136</v>
      </c>
      <c r="I343" s="7">
        <v>145.30000000000001</v>
      </c>
      <c r="J343" s="7">
        <v>3123920</v>
      </c>
      <c r="K343" s="7">
        <v>21600</v>
      </c>
      <c r="L343" s="7">
        <v>241.95</v>
      </c>
      <c r="M343" s="7">
        <v>124</v>
      </c>
      <c r="N343" s="8">
        <f t="shared" si="1"/>
        <v>141.38000000000002</v>
      </c>
    </row>
    <row r="344" spans="1:14" ht="15">
      <c r="A344" s="6" t="s">
        <v>17</v>
      </c>
      <c r="B344" s="6" t="s">
        <v>18</v>
      </c>
      <c r="C344" s="6" t="s">
        <v>706</v>
      </c>
      <c r="D344" s="6" t="s">
        <v>707</v>
      </c>
      <c r="E344" s="7">
        <v>362.55</v>
      </c>
      <c r="F344" s="7">
        <v>366.85</v>
      </c>
      <c r="G344" s="7">
        <v>373.75</v>
      </c>
      <c r="H344" s="7">
        <v>364.95</v>
      </c>
      <c r="I344" s="7">
        <v>371.1</v>
      </c>
      <c r="J344" s="7">
        <v>13478340</v>
      </c>
      <c r="K344" s="7">
        <v>36400</v>
      </c>
      <c r="L344" s="7">
        <v>580</v>
      </c>
      <c r="M344" s="7">
        <v>345.05</v>
      </c>
      <c r="N344" s="8">
        <f t="shared" si="1"/>
        <v>367.84000000000003</v>
      </c>
    </row>
    <row r="345" spans="1:14" ht="15">
      <c r="A345" s="6" t="s">
        <v>17</v>
      </c>
      <c r="B345" s="6" t="s">
        <v>18</v>
      </c>
      <c r="C345" s="6" t="s">
        <v>708</v>
      </c>
      <c r="D345" s="6" t="s">
        <v>709</v>
      </c>
      <c r="E345" s="7">
        <v>41</v>
      </c>
      <c r="F345" s="7">
        <v>43.05</v>
      </c>
      <c r="G345" s="7">
        <v>43.05</v>
      </c>
      <c r="H345" s="7">
        <v>39</v>
      </c>
      <c r="I345" s="7">
        <v>39</v>
      </c>
      <c r="J345" s="7">
        <v>376925</v>
      </c>
      <c r="K345" s="7">
        <v>9500</v>
      </c>
      <c r="L345" s="7">
        <v>180</v>
      </c>
      <c r="M345" s="7">
        <v>39</v>
      </c>
      <c r="N345" s="8">
        <f t="shared" si="1"/>
        <v>41.019999999999996</v>
      </c>
    </row>
    <row r="346" spans="1:14" ht="15">
      <c r="A346" s="6" t="s">
        <v>17</v>
      </c>
      <c r="B346" s="6" t="s">
        <v>18</v>
      </c>
      <c r="C346" s="6" t="s">
        <v>710</v>
      </c>
      <c r="D346" s="6" t="s">
        <v>711</v>
      </c>
      <c r="E346" s="7">
        <v>55.25</v>
      </c>
      <c r="F346" s="7">
        <v>56.35</v>
      </c>
      <c r="G346" s="7">
        <v>56.35</v>
      </c>
      <c r="H346" s="7">
        <v>50</v>
      </c>
      <c r="I346" s="7">
        <v>52.8</v>
      </c>
      <c r="J346" s="7">
        <v>1343360</v>
      </c>
      <c r="K346" s="7">
        <v>25600</v>
      </c>
      <c r="L346" s="7">
        <v>118.9</v>
      </c>
      <c r="M346" s="7">
        <v>47.2</v>
      </c>
      <c r="N346" s="8">
        <f t="shared" si="1"/>
        <v>54.15</v>
      </c>
    </row>
    <row r="347" spans="1:14" ht="15">
      <c r="A347" s="6" t="s">
        <v>17</v>
      </c>
      <c r="B347" s="6" t="s">
        <v>18</v>
      </c>
      <c r="C347" s="6" t="s">
        <v>712</v>
      </c>
      <c r="D347" s="6" t="s">
        <v>713</v>
      </c>
      <c r="E347" s="7">
        <v>139.94999999999999</v>
      </c>
      <c r="F347" s="7">
        <v>140</v>
      </c>
      <c r="G347" s="7">
        <v>142.6</v>
      </c>
      <c r="H347" s="7">
        <v>140</v>
      </c>
      <c r="I347" s="7">
        <v>142.6</v>
      </c>
      <c r="J347" s="7">
        <v>1353000</v>
      </c>
      <c r="K347" s="7">
        <v>9600</v>
      </c>
      <c r="L347" s="7">
        <v>191</v>
      </c>
      <c r="M347" s="7">
        <v>121</v>
      </c>
      <c r="N347" s="8">
        <f t="shared" si="1"/>
        <v>141.03000000000003</v>
      </c>
    </row>
    <row r="348" spans="1:14" ht="15">
      <c r="A348" s="6" t="s">
        <v>17</v>
      </c>
      <c r="B348" s="6" t="s">
        <v>18</v>
      </c>
      <c r="C348" s="6" t="s">
        <v>714</v>
      </c>
      <c r="D348" s="6" t="s">
        <v>715</v>
      </c>
      <c r="E348" s="7">
        <v>317.35000000000002</v>
      </c>
      <c r="F348" s="7">
        <v>318</v>
      </c>
      <c r="G348" s="7">
        <v>319.2</v>
      </c>
      <c r="H348" s="7">
        <v>316.60000000000002</v>
      </c>
      <c r="I348" s="7">
        <v>317.2</v>
      </c>
      <c r="J348" s="7">
        <v>34295640</v>
      </c>
      <c r="K348" s="7">
        <v>108000</v>
      </c>
      <c r="L348" s="7">
        <v>326.10000000000002</v>
      </c>
      <c r="M348" s="7">
        <v>208</v>
      </c>
      <c r="N348" s="8">
        <f t="shared" si="1"/>
        <v>317.66999999999996</v>
      </c>
    </row>
    <row r="349" spans="1:14" ht="15">
      <c r="A349" s="6" t="s">
        <v>17</v>
      </c>
      <c r="B349" s="6" t="s">
        <v>18</v>
      </c>
      <c r="C349" s="6" t="s">
        <v>716</v>
      </c>
      <c r="D349" s="6" t="s">
        <v>717</v>
      </c>
      <c r="E349" s="7">
        <v>72</v>
      </c>
      <c r="F349" s="7">
        <v>70</v>
      </c>
      <c r="G349" s="7">
        <v>70</v>
      </c>
      <c r="H349" s="7">
        <v>69</v>
      </c>
      <c r="I349" s="7">
        <v>69</v>
      </c>
      <c r="J349" s="7">
        <v>222400</v>
      </c>
      <c r="K349" s="7">
        <v>3200</v>
      </c>
      <c r="L349" s="7">
        <v>139.65</v>
      </c>
      <c r="M349" s="7">
        <v>66.650000000000006</v>
      </c>
      <c r="N349" s="8">
        <f t="shared" si="1"/>
        <v>70</v>
      </c>
    </row>
    <row r="350" spans="1:14" ht="15">
      <c r="A350" s="6" t="s">
        <v>17</v>
      </c>
      <c r="B350" s="6" t="s">
        <v>18</v>
      </c>
      <c r="C350" s="6" t="s">
        <v>718</v>
      </c>
      <c r="D350" s="6" t="s">
        <v>719</v>
      </c>
      <c r="E350" s="7">
        <v>44</v>
      </c>
      <c r="F350" s="7">
        <v>41.55</v>
      </c>
      <c r="G350" s="7">
        <v>41.55</v>
      </c>
      <c r="H350" s="7">
        <v>41.5</v>
      </c>
      <c r="I350" s="7">
        <v>41.5</v>
      </c>
      <c r="J350" s="7">
        <v>249100</v>
      </c>
      <c r="K350" s="7">
        <v>6000</v>
      </c>
      <c r="L350" s="7">
        <v>73.5</v>
      </c>
      <c r="M350" s="7">
        <v>39.200000000000003</v>
      </c>
      <c r="N350" s="8">
        <f t="shared" si="1"/>
        <v>42.019999999999996</v>
      </c>
    </row>
    <row r="351" spans="1:14" ht="15">
      <c r="A351" s="6" t="s">
        <v>17</v>
      </c>
      <c r="B351" s="6" t="s">
        <v>35</v>
      </c>
      <c r="C351" s="6" t="s">
        <v>720</v>
      </c>
      <c r="D351" s="6" t="s">
        <v>721</v>
      </c>
      <c r="E351" s="7">
        <v>34.4</v>
      </c>
      <c r="F351" s="7">
        <v>36</v>
      </c>
      <c r="G351" s="7">
        <v>36.1</v>
      </c>
      <c r="H351" s="7">
        <v>33.4</v>
      </c>
      <c r="I351" s="7">
        <v>33.4</v>
      </c>
      <c r="J351" s="7">
        <v>472680</v>
      </c>
      <c r="K351" s="7">
        <v>13200</v>
      </c>
      <c r="L351" s="7">
        <v>46.9</v>
      </c>
      <c r="M351" s="7">
        <v>20.399999999999999</v>
      </c>
      <c r="N351" s="8">
        <f t="shared" si="1"/>
        <v>34.660000000000004</v>
      </c>
    </row>
    <row r="352" spans="1:14" ht="15">
      <c r="A352" s="6" t="s">
        <v>17</v>
      </c>
      <c r="B352" s="6" t="s">
        <v>18</v>
      </c>
      <c r="C352" s="6" t="s">
        <v>722</v>
      </c>
      <c r="D352" s="6" t="s">
        <v>723</v>
      </c>
      <c r="E352" s="7">
        <v>131</v>
      </c>
      <c r="F352" s="7">
        <v>136.5</v>
      </c>
      <c r="G352" s="7">
        <v>136.5</v>
      </c>
      <c r="H352" s="7">
        <v>130.5</v>
      </c>
      <c r="I352" s="7">
        <v>130.65</v>
      </c>
      <c r="J352" s="7">
        <v>4448450</v>
      </c>
      <c r="K352" s="7">
        <v>34000</v>
      </c>
      <c r="L352" s="7">
        <v>159.5</v>
      </c>
      <c r="M352" s="7">
        <v>68.05</v>
      </c>
      <c r="N352" s="8">
        <f t="shared" si="1"/>
        <v>133.03</v>
      </c>
    </row>
    <row r="353" spans="1:14" ht="15">
      <c r="A353" s="6" t="s">
        <v>17</v>
      </c>
      <c r="B353" s="6" t="s">
        <v>18</v>
      </c>
      <c r="C353" s="6" t="s">
        <v>724</v>
      </c>
      <c r="D353" s="6" t="s">
        <v>725</v>
      </c>
      <c r="E353" s="7">
        <v>71.650000000000006</v>
      </c>
      <c r="F353" s="7">
        <v>63.2</v>
      </c>
      <c r="G353" s="7">
        <v>68.8</v>
      </c>
      <c r="H353" s="7">
        <v>62.2</v>
      </c>
      <c r="I353" s="7">
        <v>62.75</v>
      </c>
      <c r="J353" s="7">
        <v>2405300</v>
      </c>
      <c r="K353" s="7">
        <v>38000</v>
      </c>
      <c r="L353" s="7">
        <v>95.55</v>
      </c>
      <c r="M353" s="7">
        <v>62.05</v>
      </c>
      <c r="N353" s="8">
        <f t="shared" si="1"/>
        <v>65.72</v>
      </c>
    </row>
    <row r="354" spans="1:14" ht="15">
      <c r="A354" s="6" t="s">
        <v>17</v>
      </c>
      <c r="B354" s="6" t="s">
        <v>35</v>
      </c>
      <c r="C354" s="6" t="s">
        <v>726</v>
      </c>
      <c r="D354" s="6" t="s">
        <v>727</v>
      </c>
      <c r="E354" s="7">
        <v>205</v>
      </c>
      <c r="F354" s="7">
        <v>205.25</v>
      </c>
      <c r="G354" s="7">
        <v>206.6</v>
      </c>
      <c r="H354" s="7">
        <v>204.5</v>
      </c>
      <c r="I354" s="7">
        <v>206.6</v>
      </c>
      <c r="J354" s="7">
        <v>1026250</v>
      </c>
      <c r="K354" s="7">
        <v>5000</v>
      </c>
      <c r="L354" s="7">
        <v>226.75</v>
      </c>
      <c r="M354" s="7">
        <v>71.5</v>
      </c>
      <c r="N354" s="8">
        <f t="shared" si="1"/>
        <v>205.59</v>
      </c>
    </row>
    <row r="355" spans="1:14" ht="15">
      <c r="A355" s="6" t="s">
        <v>17</v>
      </c>
      <c r="B355" s="6" t="s">
        <v>18</v>
      </c>
      <c r="C355" s="6" t="s">
        <v>728</v>
      </c>
      <c r="D355" s="6" t="s">
        <v>729</v>
      </c>
      <c r="E355" s="7">
        <v>117.2</v>
      </c>
      <c r="F355" s="7">
        <v>117.2</v>
      </c>
      <c r="G355" s="7">
        <v>129.94999999999999</v>
      </c>
      <c r="H355" s="7">
        <v>117</v>
      </c>
      <c r="I355" s="7">
        <v>125.4</v>
      </c>
      <c r="J355" s="7">
        <v>2974650</v>
      </c>
      <c r="K355" s="7">
        <v>24000</v>
      </c>
      <c r="L355" s="7">
        <v>179</v>
      </c>
      <c r="M355" s="7">
        <v>111.5</v>
      </c>
      <c r="N355" s="8">
        <f t="shared" si="1"/>
        <v>121.35</v>
      </c>
    </row>
    <row r="356" spans="1:14" ht="15">
      <c r="A356" s="6" t="s">
        <v>17</v>
      </c>
      <c r="B356" s="6" t="s">
        <v>18</v>
      </c>
      <c r="C356" s="6" t="s">
        <v>730</v>
      </c>
      <c r="D356" s="6" t="s">
        <v>731</v>
      </c>
      <c r="E356" s="7">
        <v>61.8</v>
      </c>
      <c r="F356" s="7">
        <v>63.05</v>
      </c>
      <c r="G356" s="7">
        <v>69.900000000000006</v>
      </c>
      <c r="H356" s="7">
        <v>62.75</v>
      </c>
      <c r="I356" s="7">
        <v>67.5</v>
      </c>
      <c r="J356" s="7">
        <v>1698600</v>
      </c>
      <c r="K356" s="7">
        <v>25500</v>
      </c>
      <c r="L356" s="7">
        <v>98.75</v>
      </c>
      <c r="M356" s="7">
        <v>41.2</v>
      </c>
      <c r="N356" s="8">
        <f t="shared" si="1"/>
        <v>65</v>
      </c>
    </row>
    <row r="357" spans="1:14" ht="15">
      <c r="A357" s="6" t="s">
        <v>17</v>
      </c>
      <c r="B357" s="6" t="s">
        <v>18</v>
      </c>
      <c r="C357" s="6" t="s">
        <v>732</v>
      </c>
      <c r="D357" s="6" t="s">
        <v>733</v>
      </c>
      <c r="E357" s="7">
        <v>95.05</v>
      </c>
      <c r="F357" s="7">
        <v>93.5</v>
      </c>
      <c r="G357" s="7">
        <v>95</v>
      </c>
      <c r="H357" s="7">
        <v>92.7</v>
      </c>
      <c r="I357" s="7">
        <v>93.55</v>
      </c>
      <c r="J357" s="7">
        <v>1010130</v>
      </c>
      <c r="K357" s="7">
        <v>10800</v>
      </c>
      <c r="L357" s="7">
        <v>201</v>
      </c>
      <c r="M357" s="7">
        <v>71</v>
      </c>
      <c r="N357" s="8">
        <f t="shared" si="1"/>
        <v>93.960000000000008</v>
      </c>
    </row>
    <row r="358" spans="1:14" ht="15">
      <c r="A358" s="6" t="s">
        <v>17</v>
      </c>
      <c r="B358" s="6" t="s">
        <v>18</v>
      </c>
      <c r="C358" s="6" t="s">
        <v>734</v>
      </c>
      <c r="D358" s="6" t="s">
        <v>735</v>
      </c>
      <c r="E358" s="7">
        <v>121</v>
      </c>
      <c r="F358" s="7">
        <v>117</v>
      </c>
      <c r="G358" s="7">
        <v>117</v>
      </c>
      <c r="H358" s="7">
        <v>116.95</v>
      </c>
      <c r="I358" s="7">
        <v>116.95</v>
      </c>
      <c r="J358" s="7">
        <v>233950</v>
      </c>
      <c r="K358" s="7">
        <v>2000</v>
      </c>
      <c r="L358" s="7">
        <v>148.5</v>
      </c>
      <c r="M358" s="7">
        <v>111.5</v>
      </c>
      <c r="N358" s="8">
        <f t="shared" si="1"/>
        <v>117.78</v>
      </c>
    </row>
    <row r="359" spans="1:14" ht="15">
      <c r="A359" s="6" t="s">
        <v>17</v>
      </c>
      <c r="B359" s="6" t="s">
        <v>18</v>
      </c>
      <c r="C359" s="6" t="s">
        <v>736</v>
      </c>
      <c r="D359" s="6" t="s">
        <v>737</v>
      </c>
      <c r="E359" s="7">
        <v>408.3</v>
      </c>
      <c r="F359" s="7">
        <v>428</v>
      </c>
      <c r="G359" s="7">
        <v>440</v>
      </c>
      <c r="H359" s="7">
        <v>428</v>
      </c>
      <c r="I359" s="7">
        <v>436</v>
      </c>
      <c r="J359" s="7">
        <v>910807.5</v>
      </c>
      <c r="K359" s="7">
        <v>2100</v>
      </c>
      <c r="L359" s="7">
        <v>798.9</v>
      </c>
      <c r="M359" s="7">
        <v>396</v>
      </c>
      <c r="N359" s="8">
        <f t="shared" si="1"/>
        <v>428.06000000000006</v>
      </c>
    </row>
    <row r="360" spans="1:14" ht="15">
      <c r="A360" s="6" t="s">
        <v>17</v>
      </c>
      <c r="B360" s="6" t="s">
        <v>18</v>
      </c>
      <c r="C360" s="6" t="s">
        <v>738</v>
      </c>
      <c r="D360" s="6" t="s">
        <v>739</v>
      </c>
      <c r="E360" s="7">
        <v>69.75</v>
      </c>
      <c r="F360" s="7">
        <v>70.5</v>
      </c>
      <c r="G360" s="7">
        <v>74</v>
      </c>
      <c r="H360" s="7">
        <v>70.5</v>
      </c>
      <c r="I360" s="7">
        <v>72.75</v>
      </c>
      <c r="J360" s="7">
        <v>652250</v>
      </c>
      <c r="K360" s="7">
        <v>9000</v>
      </c>
      <c r="L360" s="7">
        <v>145.35</v>
      </c>
      <c r="M360" s="7">
        <v>69.2</v>
      </c>
      <c r="N360" s="8">
        <f t="shared" si="1"/>
        <v>71.5</v>
      </c>
    </row>
    <row r="361" spans="1:14" ht="15">
      <c r="A361" s="6" t="s">
        <v>17</v>
      </c>
      <c r="B361" s="6" t="s">
        <v>35</v>
      </c>
      <c r="C361" s="6" t="s">
        <v>740</v>
      </c>
      <c r="D361" s="6" t="s">
        <v>741</v>
      </c>
      <c r="E361" s="7">
        <v>646</v>
      </c>
      <c r="F361" s="7">
        <v>613.70000000000005</v>
      </c>
      <c r="G361" s="7">
        <v>613.70000000000005</v>
      </c>
      <c r="H361" s="7">
        <v>613.70000000000005</v>
      </c>
      <c r="I361" s="7">
        <v>613.70000000000005</v>
      </c>
      <c r="J361" s="7">
        <v>76712.5</v>
      </c>
      <c r="K361" s="7">
        <v>125</v>
      </c>
      <c r="L361" s="7">
        <v>997</v>
      </c>
      <c r="M361" s="7">
        <v>452.95</v>
      </c>
      <c r="N361" s="8">
        <f t="shared" si="1"/>
        <v>620.16000000000008</v>
      </c>
    </row>
    <row r="362" spans="1:14" ht="15">
      <c r="A362" s="6" t="s">
        <v>17</v>
      </c>
      <c r="B362" s="6" t="s">
        <v>18</v>
      </c>
      <c r="C362" s="6" t="s">
        <v>742</v>
      </c>
      <c r="D362" s="6" t="s">
        <v>743</v>
      </c>
      <c r="E362" s="7">
        <v>110</v>
      </c>
      <c r="F362" s="7">
        <v>110</v>
      </c>
      <c r="G362" s="7">
        <v>112</v>
      </c>
      <c r="H362" s="7">
        <v>107</v>
      </c>
      <c r="I362" s="7">
        <v>111.35</v>
      </c>
      <c r="J362" s="7">
        <v>8842000</v>
      </c>
      <c r="K362" s="7">
        <v>81000</v>
      </c>
      <c r="L362" s="7">
        <v>123.65</v>
      </c>
      <c r="M362" s="7">
        <v>95.5</v>
      </c>
      <c r="N362" s="8">
        <f t="shared" si="1"/>
        <v>110.07000000000001</v>
      </c>
    </row>
    <row r="363" spans="1:14" ht="15">
      <c r="A363" s="6" t="s">
        <v>17</v>
      </c>
      <c r="B363" s="6" t="s">
        <v>18</v>
      </c>
      <c r="C363" s="6" t="s">
        <v>744</v>
      </c>
      <c r="D363" s="6" t="s">
        <v>745</v>
      </c>
      <c r="E363" s="7">
        <v>242</v>
      </c>
      <c r="F363" s="7">
        <v>246.5</v>
      </c>
      <c r="G363" s="7">
        <v>251.5</v>
      </c>
      <c r="H363" s="7">
        <v>230</v>
      </c>
      <c r="I363" s="7">
        <v>235.1</v>
      </c>
      <c r="J363" s="7">
        <v>10484130</v>
      </c>
      <c r="K363" s="7">
        <v>43800</v>
      </c>
      <c r="L363" s="7">
        <v>280.10000000000002</v>
      </c>
      <c r="M363" s="7">
        <v>126.5</v>
      </c>
      <c r="N363" s="8">
        <f t="shared" si="1"/>
        <v>241.01999999999998</v>
      </c>
    </row>
    <row r="364" spans="1:14" ht="15">
      <c r="A364" s="6" t="s">
        <v>17</v>
      </c>
      <c r="B364" s="6" t="s">
        <v>18</v>
      </c>
      <c r="C364" s="6" t="s">
        <v>746</v>
      </c>
      <c r="D364" s="6" t="s">
        <v>747</v>
      </c>
      <c r="E364" s="7">
        <v>51.95</v>
      </c>
      <c r="F364" s="7">
        <v>52.5</v>
      </c>
      <c r="G364" s="7">
        <v>52.5</v>
      </c>
      <c r="H364" s="7">
        <v>52.5</v>
      </c>
      <c r="I364" s="7">
        <v>52.5</v>
      </c>
      <c r="J364" s="7">
        <v>210000</v>
      </c>
      <c r="K364" s="7">
        <v>4000</v>
      </c>
      <c r="L364" s="7">
        <v>84</v>
      </c>
      <c r="M364" s="7">
        <v>51</v>
      </c>
      <c r="N364" s="8">
        <f t="shared" si="1"/>
        <v>52.39</v>
      </c>
    </row>
    <row r="365" spans="1:14" ht="15">
      <c r="A365" s="6" t="s">
        <v>17</v>
      </c>
      <c r="B365" s="6" t="s">
        <v>18</v>
      </c>
      <c r="C365" s="6" t="s">
        <v>748</v>
      </c>
      <c r="D365" s="6" t="s">
        <v>749</v>
      </c>
      <c r="E365" s="7">
        <v>27.2</v>
      </c>
      <c r="F365" s="7">
        <v>28.5</v>
      </c>
      <c r="G365" s="7">
        <v>28.5</v>
      </c>
      <c r="H365" s="7">
        <v>27</v>
      </c>
      <c r="I365" s="7">
        <v>27.55</v>
      </c>
      <c r="J365" s="7">
        <v>619440</v>
      </c>
      <c r="K365" s="7">
        <v>22400</v>
      </c>
      <c r="L365" s="7">
        <v>88</v>
      </c>
      <c r="M365" s="7">
        <v>24</v>
      </c>
      <c r="N365" s="8">
        <f t="shared" si="1"/>
        <v>27.75</v>
      </c>
    </row>
    <row r="366" spans="1:14" ht="15">
      <c r="A366" s="6" t="s">
        <v>17</v>
      </c>
      <c r="B366" s="6" t="s">
        <v>18</v>
      </c>
      <c r="C366" s="6" t="s">
        <v>750</v>
      </c>
      <c r="D366" s="6" t="s">
        <v>751</v>
      </c>
      <c r="E366" s="7">
        <v>55.5</v>
      </c>
      <c r="F366" s="7">
        <v>56.6</v>
      </c>
      <c r="G366" s="7">
        <v>56.6</v>
      </c>
      <c r="H366" s="7">
        <v>54</v>
      </c>
      <c r="I366" s="7">
        <v>54</v>
      </c>
      <c r="J366" s="7">
        <v>221200</v>
      </c>
      <c r="K366" s="7">
        <v>4000</v>
      </c>
      <c r="L366" s="7">
        <v>95.5</v>
      </c>
      <c r="M366" s="7">
        <v>52.7</v>
      </c>
      <c r="N366" s="8">
        <f t="shared" si="1"/>
        <v>55.339999999999996</v>
      </c>
    </row>
    <row r="367" spans="1:14" ht="15">
      <c r="A367" s="6" t="s">
        <v>17</v>
      </c>
      <c r="B367" s="6" t="s">
        <v>18</v>
      </c>
      <c r="C367" s="6" t="s">
        <v>752</v>
      </c>
      <c r="D367" s="6" t="s">
        <v>753</v>
      </c>
      <c r="E367" s="7">
        <v>84.3</v>
      </c>
      <c r="F367" s="7">
        <v>85</v>
      </c>
      <c r="G367" s="7">
        <v>85</v>
      </c>
      <c r="H367" s="7">
        <v>80.5</v>
      </c>
      <c r="I367" s="7">
        <v>81.8</v>
      </c>
      <c r="J367" s="7">
        <v>2960700</v>
      </c>
      <c r="K367" s="7">
        <v>36000</v>
      </c>
      <c r="L367" s="7">
        <v>139.65</v>
      </c>
      <c r="M367" s="7">
        <v>80.5</v>
      </c>
      <c r="N367" s="8">
        <f t="shared" si="1"/>
        <v>83.320000000000007</v>
      </c>
    </row>
    <row r="368" spans="1:14" ht="15">
      <c r="A368" s="6" t="s">
        <v>17</v>
      </c>
      <c r="B368" s="6" t="s">
        <v>18</v>
      </c>
      <c r="C368" s="6" t="s">
        <v>754</v>
      </c>
      <c r="D368" s="6" t="s">
        <v>755</v>
      </c>
      <c r="E368" s="7">
        <v>30.9</v>
      </c>
      <c r="F368" s="7">
        <v>30.15</v>
      </c>
      <c r="G368" s="7">
        <v>30.95</v>
      </c>
      <c r="H368" s="7">
        <v>30.15</v>
      </c>
      <c r="I368" s="7">
        <v>30.7</v>
      </c>
      <c r="J368" s="7">
        <v>811740</v>
      </c>
      <c r="K368" s="7">
        <v>26400</v>
      </c>
      <c r="L368" s="7">
        <v>86.4</v>
      </c>
      <c r="M368" s="7">
        <v>27.15</v>
      </c>
      <c r="N368" s="8">
        <f t="shared" si="1"/>
        <v>30.57</v>
      </c>
    </row>
    <row r="369" spans="1:14" ht="15">
      <c r="A369" s="6" t="s">
        <v>17</v>
      </c>
      <c r="B369" s="6" t="s">
        <v>18</v>
      </c>
      <c r="C369" s="6" t="s">
        <v>756</v>
      </c>
      <c r="D369" s="6" t="s">
        <v>757</v>
      </c>
      <c r="E369" s="7">
        <v>214.95</v>
      </c>
      <c r="F369" s="7">
        <v>218</v>
      </c>
      <c r="G369" s="7">
        <v>218</v>
      </c>
      <c r="H369" s="7">
        <v>214</v>
      </c>
      <c r="I369" s="7">
        <v>214</v>
      </c>
      <c r="J369" s="7">
        <v>432000</v>
      </c>
      <c r="K369" s="7">
        <v>2000</v>
      </c>
      <c r="L369" s="7">
        <v>243</v>
      </c>
      <c r="M369" s="7">
        <v>154.05000000000001</v>
      </c>
      <c r="N369" s="8">
        <f t="shared" si="1"/>
        <v>215.79000000000002</v>
      </c>
    </row>
    <row r="370" spans="1:14" ht="15">
      <c r="A370" s="6" t="s">
        <v>17</v>
      </c>
      <c r="B370" s="6" t="s">
        <v>18</v>
      </c>
      <c r="C370" s="6" t="s">
        <v>758</v>
      </c>
      <c r="D370" s="6" t="s">
        <v>759</v>
      </c>
      <c r="E370" s="7">
        <v>96.55</v>
      </c>
      <c r="F370" s="7">
        <v>100.9</v>
      </c>
      <c r="G370" s="7">
        <v>100.9</v>
      </c>
      <c r="H370" s="7">
        <v>91.75</v>
      </c>
      <c r="I370" s="7">
        <v>91.75</v>
      </c>
      <c r="J370" s="7">
        <v>192650</v>
      </c>
      <c r="K370" s="7">
        <v>2000</v>
      </c>
      <c r="L370" s="7">
        <v>135.6</v>
      </c>
      <c r="M370" s="7">
        <v>60</v>
      </c>
      <c r="N370" s="8">
        <f t="shared" si="1"/>
        <v>96.37</v>
      </c>
    </row>
    <row r="371" spans="1:14" ht="15">
      <c r="A371" s="6" t="s">
        <v>17</v>
      </c>
      <c r="B371" s="6" t="s">
        <v>18</v>
      </c>
      <c r="C371" s="6" t="s">
        <v>760</v>
      </c>
      <c r="D371" s="6" t="s">
        <v>761</v>
      </c>
      <c r="E371" s="7">
        <v>97</v>
      </c>
      <c r="F371" s="7">
        <v>96</v>
      </c>
      <c r="G371" s="7">
        <v>96</v>
      </c>
      <c r="H371" s="7">
        <v>96</v>
      </c>
      <c r="I371" s="7">
        <v>96</v>
      </c>
      <c r="J371" s="7">
        <v>192000</v>
      </c>
      <c r="K371" s="7">
        <v>2000</v>
      </c>
      <c r="L371" s="7">
        <v>112.1</v>
      </c>
      <c r="M371" s="7">
        <v>50.65</v>
      </c>
      <c r="N371" s="8">
        <f t="shared" si="1"/>
        <v>96.2</v>
      </c>
    </row>
    <row r="372" spans="1:14" ht="15">
      <c r="A372" s="6" t="s">
        <v>17</v>
      </c>
      <c r="B372" s="6" t="s">
        <v>18</v>
      </c>
      <c r="C372" s="6" t="s">
        <v>762</v>
      </c>
      <c r="D372" s="6" t="s">
        <v>763</v>
      </c>
      <c r="E372" s="7">
        <v>145</v>
      </c>
      <c r="F372" s="7">
        <v>145</v>
      </c>
      <c r="G372" s="7">
        <v>145</v>
      </c>
      <c r="H372" s="7">
        <v>144.5</v>
      </c>
      <c r="I372" s="7">
        <v>144.5</v>
      </c>
      <c r="J372" s="7">
        <v>3008800</v>
      </c>
      <c r="K372" s="7">
        <v>20800</v>
      </c>
      <c r="L372" s="7">
        <v>171</v>
      </c>
      <c r="M372" s="7">
        <v>103</v>
      </c>
      <c r="N372" s="8">
        <f t="shared" si="1"/>
        <v>144.80000000000001</v>
      </c>
    </row>
    <row r="373" spans="1:14" ht="15">
      <c r="A373" s="6" t="s">
        <v>17</v>
      </c>
      <c r="B373" s="6" t="s">
        <v>18</v>
      </c>
      <c r="C373" s="6" t="s">
        <v>764</v>
      </c>
      <c r="D373" s="6" t="s">
        <v>765</v>
      </c>
      <c r="E373" s="7">
        <v>164</v>
      </c>
      <c r="F373" s="7">
        <v>163</v>
      </c>
      <c r="G373" s="7">
        <v>163</v>
      </c>
      <c r="H373" s="7">
        <v>160</v>
      </c>
      <c r="I373" s="7">
        <v>160</v>
      </c>
      <c r="J373" s="7">
        <v>729000</v>
      </c>
      <c r="K373" s="7">
        <v>4500</v>
      </c>
      <c r="L373" s="7">
        <v>263</v>
      </c>
      <c r="M373" s="7">
        <v>150</v>
      </c>
      <c r="N373" s="8">
        <f t="shared" si="1"/>
        <v>162</v>
      </c>
    </row>
    <row r="374" spans="1:14" ht="15">
      <c r="A374" s="6" t="s">
        <v>17</v>
      </c>
      <c r="B374" s="6" t="s">
        <v>18</v>
      </c>
      <c r="C374" s="6" t="s">
        <v>766</v>
      </c>
      <c r="D374" s="6" t="s">
        <v>767</v>
      </c>
      <c r="E374" s="7">
        <v>225.85</v>
      </c>
      <c r="F374" s="7">
        <v>235</v>
      </c>
      <c r="G374" s="7">
        <v>235.5</v>
      </c>
      <c r="H374" s="7">
        <v>227.9</v>
      </c>
      <c r="I374" s="7">
        <v>227.9</v>
      </c>
      <c r="J374" s="7">
        <v>2159360</v>
      </c>
      <c r="K374" s="7">
        <v>9200</v>
      </c>
      <c r="L374" s="7">
        <v>418.2</v>
      </c>
      <c r="M374" s="7">
        <v>220.4</v>
      </c>
      <c r="N374" s="8">
        <f t="shared" si="1"/>
        <v>230.42999999999998</v>
      </c>
    </row>
    <row r="375" spans="1:14" ht="15">
      <c r="A375" s="6" t="s">
        <v>17</v>
      </c>
      <c r="B375" s="6" t="s">
        <v>18</v>
      </c>
      <c r="C375" s="6" t="s">
        <v>768</v>
      </c>
      <c r="D375" s="6" t="s">
        <v>769</v>
      </c>
      <c r="E375" s="7">
        <v>63.8</v>
      </c>
      <c r="F375" s="7">
        <v>63.8</v>
      </c>
      <c r="G375" s="7">
        <v>63.8</v>
      </c>
      <c r="H375" s="7">
        <v>59.25</v>
      </c>
      <c r="I375" s="7">
        <v>60.55</v>
      </c>
      <c r="J375" s="7">
        <v>1033080</v>
      </c>
      <c r="K375" s="7">
        <v>16800</v>
      </c>
      <c r="L375" s="7">
        <v>157.94999999999999</v>
      </c>
      <c r="M375" s="7">
        <v>59.25</v>
      </c>
      <c r="N375" s="8">
        <f t="shared" si="1"/>
        <v>62.239999999999995</v>
      </c>
    </row>
    <row r="376" spans="1:14" ht="15">
      <c r="A376" s="6" t="s">
        <v>17</v>
      </c>
      <c r="B376" s="6" t="s">
        <v>35</v>
      </c>
      <c r="C376" s="6" t="s">
        <v>770</v>
      </c>
      <c r="D376" s="6" t="s">
        <v>771</v>
      </c>
      <c r="E376" s="7">
        <v>9.3000000000000007</v>
      </c>
      <c r="F376" s="7">
        <v>8.85</v>
      </c>
      <c r="G376" s="7">
        <v>8.85</v>
      </c>
      <c r="H376" s="7">
        <v>8.85</v>
      </c>
      <c r="I376" s="7">
        <v>8.85</v>
      </c>
      <c r="J376" s="7">
        <v>35754</v>
      </c>
      <c r="K376" s="7">
        <v>4040</v>
      </c>
      <c r="L376" s="7">
        <v>21.7</v>
      </c>
      <c r="M376" s="7">
        <v>5.6</v>
      </c>
      <c r="N376" s="8">
        <f t="shared" si="1"/>
        <v>8.9400000000000013</v>
      </c>
    </row>
    <row r="377" spans="1:14" ht="15">
      <c r="A377" s="6" t="s">
        <v>17</v>
      </c>
      <c r="B377" s="6" t="s">
        <v>18</v>
      </c>
      <c r="C377" s="6" t="s">
        <v>772</v>
      </c>
      <c r="D377" s="6" t="s">
        <v>773</v>
      </c>
      <c r="E377" s="7">
        <v>50</v>
      </c>
      <c r="F377" s="7">
        <v>50.5</v>
      </c>
      <c r="G377" s="7">
        <v>50.5</v>
      </c>
      <c r="H377" s="7">
        <v>48.1</v>
      </c>
      <c r="I377" s="7">
        <v>48.1</v>
      </c>
      <c r="J377" s="7">
        <v>398200</v>
      </c>
      <c r="K377" s="7">
        <v>8000</v>
      </c>
      <c r="L377" s="7">
        <v>122</v>
      </c>
      <c r="M377" s="7">
        <v>45.15</v>
      </c>
      <c r="N377" s="8">
        <f t="shared" si="1"/>
        <v>49.44</v>
      </c>
    </row>
    <row r="378" spans="1:14" ht="15">
      <c r="A378" s="6" t="s">
        <v>17</v>
      </c>
      <c r="B378" s="6" t="s">
        <v>18</v>
      </c>
      <c r="C378" s="6" t="s">
        <v>774</v>
      </c>
      <c r="D378" s="6" t="s">
        <v>775</v>
      </c>
      <c r="E378" s="7">
        <v>24.35</v>
      </c>
      <c r="F378" s="7">
        <v>23.5</v>
      </c>
      <c r="G378" s="7">
        <v>23.5</v>
      </c>
      <c r="H378" s="7">
        <v>23.15</v>
      </c>
      <c r="I378" s="7">
        <v>23.15</v>
      </c>
      <c r="J378" s="7">
        <v>55980</v>
      </c>
      <c r="K378" s="7">
        <v>2400</v>
      </c>
      <c r="L378" s="7">
        <v>43</v>
      </c>
      <c r="M378" s="7">
        <v>23.15</v>
      </c>
      <c r="N378" s="8">
        <f t="shared" si="1"/>
        <v>23.53</v>
      </c>
    </row>
    <row r="379" spans="1:14" ht="15">
      <c r="A379" s="6" t="s">
        <v>17</v>
      </c>
      <c r="B379" s="6" t="s">
        <v>18</v>
      </c>
      <c r="C379" s="6" t="s">
        <v>776</v>
      </c>
      <c r="D379" s="6" t="s">
        <v>777</v>
      </c>
      <c r="E379" s="7">
        <v>38.1</v>
      </c>
      <c r="F379" s="7">
        <v>38.950000000000003</v>
      </c>
      <c r="G379" s="7">
        <v>39.4</v>
      </c>
      <c r="H379" s="7">
        <v>37.6</v>
      </c>
      <c r="I379" s="7">
        <v>38.5</v>
      </c>
      <c r="J379" s="7">
        <v>268950</v>
      </c>
      <c r="K379" s="7">
        <v>7000</v>
      </c>
      <c r="L379" s="7">
        <v>118</v>
      </c>
      <c r="M379" s="7">
        <v>37.6</v>
      </c>
      <c r="N379" s="8">
        <f t="shared" si="1"/>
        <v>38.51</v>
      </c>
    </row>
    <row r="380" spans="1:14" ht="15">
      <c r="A380" s="6" t="s">
        <v>17</v>
      </c>
      <c r="B380" s="6" t="s">
        <v>18</v>
      </c>
      <c r="C380" s="6" t="s">
        <v>778</v>
      </c>
      <c r="D380" s="6" t="s">
        <v>779</v>
      </c>
      <c r="E380" s="7">
        <v>69.95</v>
      </c>
      <c r="F380" s="7">
        <v>69.95</v>
      </c>
      <c r="G380" s="7">
        <v>72</v>
      </c>
      <c r="H380" s="7">
        <v>69.95</v>
      </c>
      <c r="I380" s="7">
        <v>71.3</v>
      </c>
      <c r="J380" s="7">
        <v>320925</v>
      </c>
      <c r="K380" s="7">
        <v>4500</v>
      </c>
      <c r="L380" s="7">
        <v>145</v>
      </c>
      <c r="M380" s="7">
        <v>68.599999999999994</v>
      </c>
      <c r="N380" s="8">
        <f t="shared" si="1"/>
        <v>70.63</v>
      </c>
    </row>
    <row r="381" spans="1:14" ht="15">
      <c r="A381" s="6" t="s">
        <v>17</v>
      </c>
      <c r="B381" s="6" t="s">
        <v>18</v>
      </c>
      <c r="C381" s="6" t="s">
        <v>780</v>
      </c>
      <c r="D381" s="6" t="s">
        <v>781</v>
      </c>
      <c r="E381" s="7">
        <v>107.55</v>
      </c>
      <c r="F381" s="7">
        <v>102.2</v>
      </c>
      <c r="G381" s="7">
        <v>112.9</v>
      </c>
      <c r="H381" s="7">
        <v>102.2</v>
      </c>
      <c r="I381" s="7">
        <v>112.9</v>
      </c>
      <c r="J381" s="7">
        <v>776220</v>
      </c>
      <c r="K381" s="7">
        <v>7200</v>
      </c>
      <c r="L381" s="7">
        <v>152.35</v>
      </c>
      <c r="M381" s="7">
        <v>88.05</v>
      </c>
      <c r="N381" s="8">
        <f t="shared" si="1"/>
        <v>107.55</v>
      </c>
    </row>
    <row r="382" spans="1:14" ht="15">
      <c r="A382" s="6" t="s">
        <v>17</v>
      </c>
      <c r="B382" s="6" t="s">
        <v>35</v>
      </c>
      <c r="C382" s="6" t="s">
        <v>782</v>
      </c>
      <c r="D382" s="6" t="s">
        <v>783</v>
      </c>
      <c r="E382" s="7">
        <v>134.9</v>
      </c>
      <c r="F382" s="7">
        <v>128.19999999999999</v>
      </c>
      <c r="G382" s="7">
        <v>128.19999999999999</v>
      </c>
      <c r="H382" s="7">
        <v>128.19999999999999</v>
      </c>
      <c r="I382" s="7">
        <v>128.19999999999999</v>
      </c>
      <c r="J382" s="7">
        <v>2461440</v>
      </c>
      <c r="K382" s="7">
        <v>19200</v>
      </c>
      <c r="L382" s="7">
        <v>199.4</v>
      </c>
      <c r="M382" s="7">
        <v>104.55</v>
      </c>
      <c r="N382" s="8">
        <f t="shared" si="1"/>
        <v>129.54</v>
      </c>
    </row>
    <row r="383" spans="1:14" ht="15">
      <c r="A383" s="6" t="s">
        <v>17</v>
      </c>
      <c r="B383" s="6" t="s">
        <v>18</v>
      </c>
      <c r="C383" s="6" t="s">
        <v>784</v>
      </c>
      <c r="D383" s="6" t="s">
        <v>785</v>
      </c>
      <c r="E383" s="7">
        <v>51.5</v>
      </c>
      <c r="F383" s="7">
        <v>51.5</v>
      </c>
      <c r="G383" s="7">
        <v>51.5</v>
      </c>
      <c r="H383" s="7">
        <v>51.5</v>
      </c>
      <c r="I383" s="7">
        <v>51.5</v>
      </c>
      <c r="J383" s="7">
        <v>103000</v>
      </c>
      <c r="K383" s="7">
        <v>2000</v>
      </c>
      <c r="L383" s="7">
        <v>60</v>
      </c>
      <c r="M383" s="7">
        <v>46.55</v>
      </c>
      <c r="N383" s="8">
        <f t="shared" si="1"/>
        <v>51.5</v>
      </c>
    </row>
    <row r="384" spans="1:14" ht="15">
      <c r="A384" s="6" t="s">
        <v>17</v>
      </c>
      <c r="B384" s="6" t="s">
        <v>18</v>
      </c>
      <c r="C384" s="6" t="s">
        <v>786</v>
      </c>
      <c r="D384" s="6" t="s">
        <v>787</v>
      </c>
      <c r="E384" s="7">
        <v>89.75</v>
      </c>
      <c r="F384" s="7">
        <v>88.1</v>
      </c>
      <c r="G384" s="7">
        <v>94.1</v>
      </c>
      <c r="H384" s="7">
        <v>85.3</v>
      </c>
      <c r="I384" s="7">
        <v>87.55</v>
      </c>
      <c r="J384" s="7">
        <v>1283240</v>
      </c>
      <c r="K384" s="7">
        <v>14400</v>
      </c>
      <c r="L384" s="7">
        <v>172.8</v>
      </c>
      <c r="M384" s="7">
        <v>69.3</v>
      </c>
      <c r="N384" s="8">
        <f t="shared" si="1"/>
        <v>88.960000000000008</v>
      </c>
    </row>
    <row r="385" spans="1:14" ht="15">
      <c r="A385" s="6" t="s">
        <v>17</v>
      </c>
      <c r="B385" s="6" t="s">
        <v>18</v>
      </c>
      <c r="C385" s="6" t="s">
        <v>788</v>
      </c>
      <c r="D385" s="6" t="s">
        <v>789</v>
      </c>
      <c r="E385" s="7">
        <v>15.25</v>
      </c>
      <c r="F385" s="7">
        <v>15.35</v>
      </c>
      <c r="G385" s="7">
        <v>15.9</v>
      </c>
      <c r="H385" s="7">
        <v>15.2</v>
      </c>
      <c r="I385" s="7">
        <v>15.2</v>
      </c>
      <c r="J385" s="7">
        <v>124400</v>
      </c>
      <c r="K385" s="7">
        <v>8000</v>
      </c>
      <c r="L385" s="7">
        <v>30.5</v>
      </c>
      <c r="M385" s="7">
        <v>13.25</v>
      </c>
      <c r="N385" s="8">
        <f t="shared" si="1"/>
        <v>15.38</v>
      </c>
    </row>
    <row r="386" spans="1:14" ht="15">
      <c r="A386" s="6" t="s">
        <v>17</v>
      </c>
      <c r="B386" s="6" t="s">
        <v>18</v>
      </c>
      <c r="C386" s="6" t="s">
        <v>790</v>
      </c>
      <c r="D386" s="6" t="s">
        <v>791</v>
      </c>
      <c r="E386" s="7">
        <v>114.45</v>
      </c>
      <c r="F386" s="7">
        <v>113.3</v>
      </c>
      <c r="G386" s="7">
        <v>115</v>
      </c>
      <c r="H386" s="7">
        <v>113.3</v>
      </c>
      <c r="I386" s="7">
        <v>115</v>
      </c>
      <c r="J386" s="7">
        <v>687960</v>
      </c>
      <c r="K386" s="7">
        <v>6000</v>
      </c>
      <c r="L386" s="7">
        <v>173.55</v>
      </c>
      <c r="M386" s="7">
        <v>107.3</v>
      </c>
      <c r="N386" s="8">
        <f t="shared" si="1"/>
        <v>114.21000000000001</v>
      </c>
    </row>
    <row r="387" spans="1:14" ht="15">
      <c r="A387" s="6" t="s">
        <v>17</v>
      </c>
      <c r="B387" s="6" t="s">
        <v>18</v>
      </c>
      <c r="C387" s="6" t="s">
        <v>792</v>
      </c>
      <c r="D387" s="6" t="s">
        <v>793</v>
      </c>
      <c r="E387" s="7">
        <v>94.2</v>
      </c>
      <c r="F387" s="7">
        <v>94.55</v>
      </c>
      <c r="G387" s="7">
        <v>95</v>
      </c>
      <c r="H387" s="7">
        <v>86</v>
      </c>
      <c r="I387" s="7">
        <v>86.15</v>
      </c>
      <c r="J387" s="7">
        <v>4589500</v>
      </c>
      <c r="K387" s="7">
        <v>51500</v>
      </c>
      <c r="L387" s="7">
        <v>216</v>
      </c>
      <c r="M387" s="7">
        <v>86</v>
      </c>
      <c r="N387" s="8">
        <f t="shared" si="1"/>
        <v>91.18</v>
      </c>
    </row>
    <row r="388" spans="1:14" ht="15">
      <c r="A388" s="6" t="s">
        <v>17</v>
      </c>
      <c r="B388" s="6" t="s">
        <v>18</v>
      </c>
      <c r="C388" s="6" t="s">
        <v>794</v>
      </c>
      <c r="D388" s="6" t="s">
        <v>795</v>
      </c>
      <c r="E388" s="7">
        <v>41.1</v>
      </c>
      <c r="F388" s="7">
        <v>40.65</v>
      </c>
      <c r="G388" s="7">
        <v>41.1</v>
      </c>
      <c r="H388" s="7">
        <v>40.4</v>
      </c>
      <c r="I388" s="7">
        <v>40.549999999999997</v>
      </c>
      <c r="J388" s="7">
        <v>772100</v>
      </c>
      <c r="K388" s="7">
        <v>19000</v>
      </c>
      <c r="L388" s="7">
        <v>93</v>
      </c>
      <c r="M388" s="7">
        <v>40.299999999999997</v>
      </c>
      <c r="N388" s="8">
        <f t="shared" si="1"/>
        <v>40.76</v>
      </c>
    </row>
    <row r="389" spans="1:14" ht="15">
      <c r="A389" s="6" t="s">
        <v>17</v>
      </c>
      <c r="B389" s="6" t="s">
        <v>18</v>
      </c>
      <c r="C389" s="6" t="s">
        <v>796</v>
      </c>
      <c r="D389" s="6" t="s">
        <v>797</v>
      </c>
      <c r="E389" s="7">
        <v>10.9</v>
      </c>
      <c r="F389" s="7">
        <v>11.2</v>
      </c>
      <c r="G389" s="7">
        <v>11.5</v>
      </c>
      <c r="H389" s="7">
        <v>11.05</v>
      </c>
      <c r="I389" s="7">
        <v>11.4</v>
      </c>
      <c r="J389" s="7">
        <v>674200</v>
      </c>
      <c r="K389" s="7">
        <v>60000</v>
      </c>
      <c r="L389" s="7">
        <v>43.2</v>
      </c>
      <c r="M389" s="7">
        <v>10.15</v>
      </c>
      <c r="N389" s="8">
        <f t="shared" si="1"/>
        <v>11.209999999999999</v>
      </c>
    </row>
    <row r="390" spans="1:14" ht="15">
      <c r="A390" s="6" t="s">
        <v>17</v>
      </c>
      <c r="B390" s="6" t="s">
        <v>18</v>
      </c>
      <c r="C390" s="6" t="s">
        <v>798</v>
      </c>
      <c r="D390" s="6" t="s">
        <v>799</v>
      </c>
      <c r="E390" s="7">
        <v>121.55</v>
      </c>
      <c r="F390" s="7">
        <v>118.25</v>
      </c>
      <c r="G390" s="7">
        <v>121</v>
      </c>
      <c r="H390" s="7">
        <v>112.5</v>
      </c>
      <c r="I390" s="7">
        <v>115.8</v>
      </c>
      <c r="J390" s="7">
        <v>2837220</v>
      </c>
      <c r="K390" s="7">
        <v>24000</v>
      </c>
      <c r="L390" s="7">
        <v>200</v>
      </c>
      <c r="M390" s="7">
        <v>108</v>
      </c>
      <c r="N390" s="8">
        <f t="shared" si="1"/>
        <v>117.82000000000001</v>
      </c>
    </row>
    <row r="391" spans="1:14" ht="15">
      <c r="A391" s="6" t="s">
        <v>17</v>
      </c>
      <c r="B391" s="6" t="s">
        <v>18</v>
      </c>
      <c r="C391" s="6" t="s">
        <v>800</v>
      </c>
      <c r="D391" s="6" t="s">
        <v>801</v>
      </c>
      <c r="E391" s="7">
        <v>33</v>
      </c>
      <c r="F391" s="7">
        <v>33.25</v>
      </c>
      <c r="G391" s="7">
        <v>33.25</v>
      </c>
      <c r="H391" s="7">
        <v>29.7</v>
      </c>
      <c r="I391" s="7">
        <v>29.8</v>
      </c>
      <c r="J391" s="7">
        <v>3957280</v>
      </c>
      <c r="K391" s="7">
        <v>129600</v>
      </c>
      <c r="L391" s="7">
        <v>68.8</v>
      </c>
      <c r="M391" s="7">
        <v>29.7</v>
      </c>
      <c r="N391" s="8">
        <f t="shared" si="1"/>
        <v>31.8</v>
      </c>
    </row>
    <row r="392" spans="1:14" ht="15">
      <c r="A392" s="6" t="s">
        <v>17</v>
      </c>
      <c r="B392" s="6" t="s">
        <v>18</v>
      </c>
      <c r="C392" s="6" t="s">
        <v>802</v>
      </c>
      <c r="D392" s="6" t="s">
        <v>803</v>
      </c>
      <c r="E392" s="7">
        <v>200</v>
      </c>
      <c r="F392" s="7">
        <v>203</v>
      </c>
      <c r="G392" s="7">
        <v>204.25</v>
      </c>
      <c r="H392" s="7">
        <v>200</v>
      </c>
      <c r="I392" s="7">
        <v>200</v>
      </c>
      <c r="J392" s="7">
        <v>283450</v>
      </c>
      <c r="K392" s="7">
        <v>1400</v>
      </c>
      <c r="L392" s="7">
        <v>510</v>
      </c>
      <c r="M392" s="7">
        <v>181.1</v>
      </c>
      <c r="N392" s="8">
        <f t="shared" si="1"/>
        <v>201.45</v>
      </c>
    </row>
    <row r="393" spans="1:14" ht="15">
      <c r="A393" s="6" t="s">
        <v>17</v>
      </c>
      <c r="B393" s="6" t="s">
        <v>35</v>
      </c>
      <c r="C393" s="6" t="s">
        <v>804</v>
      </c>
      <c r="D393" s="6" t="s">
        <v>805</v>
      </c>
      <c r="E393" s="7">
        <v>369.1</v>
      </c>
      <c r="F393" s="7">
        <v>385.7</v>
      </c>
      <c r="G393" s="7">
        <v>387.55</v>
      </c>
      <c r="H393" s="7">
        <v>373</v>
      </c>
      <c r="I393" s="7">
        <v>387.55</v>
      </c>
      <c r="J393" s="7">
        <v>11318040</v>
      </c>
      <c r="K393" s="7">
        <v>29400</v>
      </c>
      <c r="L393" s="7">
        <v>415.5</v>
      </c>
      <c r="M393" s="7">
        <v>91</v>
      </c>
      <c r="N393" s="8">
        <f t="shared" si="1"/>
        <v>380.58000000000004</v>
      </c>
    </row>
    <row r="394" spans="1:14" ht="15">
      <c r="A394" s="6" t="s">
        <v>17</v>
      </c>
      <c r="B394" s="6" t="s">
        <v>18</v>
      </c>
      <c r="C394" s="6" t="s">
        <v>806</v>
      </c>
      <c r="D394" s="6" t="s">
        <v>807</v>
      </c>
      <c r="E394" s="7">
        <v>32.5</v>
      </c>
      <c r="F394" s="7">
        <v>33</v>
      </c>
      <c r="G394" s="7">
        <v>33</v>
      </c>
      <c r="H394" s="7">
        <v>33</v>
      </c>
      <c r="I394" s="7">
        <v>33</v>
      </c>
      <c r="J394" s="7">
        <v>52800</v>
      </c>
      <c r="K394" s="7">
        <v>1600</v>
      </c>
      <c r="L394" s="7">
        <v>75</v>
      </c>
      <c r="M394" s="7">
        <v>29.55</v>
      </c>
      <c r="N394" s="8">
        <f t="shared" si="1"/>
        <v>32.9</v>
      </c>
    </row>
    <row r="395" spans="1:14" ht="15">
      <c r="A395" s="6" t="s">
        <v>17</v>
      </c>
      <c r="B395" s="6" t="s">
        <v>18</v>
      </c>
      <c r="C395" s="6" t="s">
        <v>808</v>
      </c>
      <c r="D395" s="6" t="s">
        <v>809</v>
      </c>
      <c r="E395" s="7">
        <v>36</v>
      </c>
      <c r="F395" s="7">
        <v>37.799999999999997</v>
      </c>
      <c r="G395" s="7">
        <v>37.9</v>
      </c>
      <c r="H395" s="7">
        <v>35.700000000000003</v>
      </c>
      <c r="I395" s="7">
        <v>35.9</v>
      </c>
      <c r="J395" s="7">
        <v>648240</v>
      </c>
      <c r="K395" s="7">
        <v>17600</v>
      </c>
      <c r="L395" s="7">
        <v>110</v>
      </c>
      <c r="M395" s="7">
        <v>32.200000000000003</v>
      </c>
      <c r="N395" s="8">
        <f t="shared" si="1"/>
        <v>36.659999999999997</v>
      </c>
    </row>
    <row r="396" spans="1:14" ht="15">
      <c r="A396" s="6" t="s">
        <v>17</v>
      </c>
      <c r="B396" s="6" t="s">
        <v>18</v>
      </c>
      <c r="C396" s="6" t="s">
        <v>810</v>
      </c>
      <c r="D396" s="6" t="s">
        <v>811</v>
      </c>
      <c r="E396" s="7">
        <v>27.3</v>
      </c>
      <c r="F396" s="7">
        <v>27.3</v>
      </c>
      <c r="G396" s="7">
        <v>27.3</v>
      </c>
      <c r="H396" s="7">
        <v>26.8</v>
      </c>
      <c r="I396" s="7">
        <v>27.1</v>
      </c>
      <c r="J396" s="7">
        <v>259920</v>
      </c>
      <c r="K396" s="7">
        <v>9600</v>
      </c>
      <c r="L396" s="7">
        <v>49</v>
      </c>
      <c r="M396" s="7">
        <v>26</v>
      </c>
      <c r="N396" s="8">
        <f t="shared" si="1"/>
        <v>27.160000000000004</v>
      </c>
    </row>
    <row r="397" spans="1:14" ht="15">
      <c r="A397" s="6" t="s">
        <v>17</v>
      </c>
      <c r="B397" s="6" t="s">
        <v>18</v>
      </c>
      <c r="C397" s="6" t="s">
        <v>812</v>
      </c>
      <c r="D397" s="6" t="s">
        <v>813</v>
      </c>
      <c r="E397" s="7">
        <v>157</v>
      </c>
      <c r="F397" s="7">
        <v>159</v>
      </c>
      <c r="G397" s="7">
        <v>167</v>
      </c>
      <c r="H397" s="7">
        <v>151</v>
      </c>
      <c r="I397" s="7">
        <v>156.4</v>
      </c>
      <c r="J397" s="7">
        <v>12337875</v>
      </c>
      <c r="K397" s="7">
        <v>77500</v>
      </c>
      <c r="L397" s="7">
        <v>240.05</v>
      </c>
      <c r="M397" s="7">
        <v>100</v>
      </c>
      <c r="N397" s="8">
        <f t="shared" si="1"/>
        <v>158.07999999999998</v>
      </c>
    </row>
    <row r="398" spans="1:14" ht="15">
      <c r="A398" s="6" t="s">
        <v>17</v>
      </c>
      <c r="B398" s="6" t="s">
        <v>18</v>
      </c>
      <c r="C398" s="6" t="s">
        <v>814</v>
      </c>
      <c r="D398" s="6" t="s">
        <v>815</v>
      </c>
      <c r="E398" s="7">
        <v>61</v>
      </c>
      <c r="F398" s="7">
        <v>57.05</v>
      </c>
      <c r="G398" s="7">
        <v>61</v>
      </c>
      <c r="H398" s="7">
        <v>56.4</v>
      </c>
      <c r="I398" s="7">
        <v>57.8</v>
      </c>
      <c r="J398" s="7">
        <v>438770</v>
      </c>
      <c r="K398" s="7">
        <v>7600</v>
      </c>
      <c r="L398" s="7">
        <v>191.85</v>
      </c>
      <c r="M398" s="7">
        <v>47.5</v>
      </c>
      <c r="N398" s="8">
        <f t="shared" si="1"/>
        <v>58.65</v>
      </c>
    </row>
    <row r="399" spans="1:14" ht="15">
      <c r="A399" s="6" t="s">
        <v>17</v>
      </c>
      <c r="B399" s="6" t="s">
        <v>35</v>
      </c>
      <c r="C399" s="6" t="s">
        <v>816</v>
      </c>
      <c r="D399" s="6" t="s">
        <v>817</v>
      </c>
      <c r="E399" s="7">
        <v>259.05</v>
      </c>
      <c r="F399" s="7">
        <v>269</v>
      </c>
      <c r="G399" s="7">
        <v>271</v>
      </c>
      <c r="H399" s="7">
        <v>260.5</v>
      </c>
      <c r="I399" s="7">
        <v>267.8</v>
      </c>
      <c r="J399" s="7">
        <v>29196825</v>
      </c>
      <c r="K399" s="7">
        <v>109500</v>
      </c>
      <c r="L399" s="7">
        <v>287.45</v>
      </c>
      <c r="M399" s="7">
        <v>138.5</v>
      </c>
      <c r="N399" s="8">
        <f t="shared" si="1"/>
        <v>265.46999999999997</v>
      </c>
    </row>
    <row r="400" spans="1:14" ht="15">
      <c r="A400" s="6" t="s">
        <v>17</v>
      </c>
      <c r="B400" s="6" t="s">
        <v>18</v>
      </c>
      <c r="C400" s="6" t="s">
        <v>818</v>
      </c>
      <c r="D400" s="6" t="s">
        <v>819</v>
      </c>
      <c r="E400" s="7">
        <v>19.45</v>
      </c>
      <c r="F400" s="7">
        <v>19.600000000000001</v>
      </c>
      <c r="G400" s="7">
        <v>19.600000000000001</v>
      </c>
      <c r="H400" s="7">
        <v>19</v>
      </c>
      <c r="I400" s="7">
        <v>19</v>
      </c>
      <c r="J400" s="7">
        <v>69720</v>
      </c>
      <c r="K400" s="7">
        <v>3600</v>
      </c>
      <c r="L400" s="7">
        <v>52.95</v>
      </c>
      <c r="M400" s="7">
        <v>18.899999999999999</v>
      </c>
      <c r="N400" s="8">
        <f t="shared" si="1"/>
        <v>19.330000000000002</v>
      </c>
    </row>
    <row r="401" spans="1:14" ht="15">
      <c r="A401" s="6" t="s">
        <v>17</v>
      </c>
      <c r="B401" s="6" t="s">
        <v>18</v>
      </c>
      <c r="C401" s="6" t="s">
        <v>820</v>
      </c>
      <c r="D401" s="6" t="s">
        <v>821</v>
      </c>
      <c r="E401" s="7">
        <v>52.15</v>
      </c>
      <c r="F401" s="7">
        <v>53</v>
      </c>
      <c r="G401" s="7">
        <v>53</v>
      </c>
      <c r="H401" s="7">
        <v>50</v>
      </c>
      <c r="I401" s="7">
        <v>50</v>
      </c>
      <c r="J401" s="7">
        <v>626000</v>
      </c>
      <c r="K401" s="7">
        <v>12000</v>
      </c>
      <c r="L401" s="7">
        <v>95</v>
      </c>
      <c r="M401" s="7">
        <v>50</v>
      </c>
      <c r="N401" s="8">
        <f t="shared" si="1"/>
        <v>51.629999999999995</v>
      </c>
    </row>
    <row r="402" spans="1:14" ht="15">
      <c r="A402" s="6" t="s">
        <v>17</v>
      </c>
      <c r="B402" s="6" t="s">
        <v>35</v>
      </c>
      <c r="C402" s="6" t="s">
        <v>822</v>
      </c>
      <c r="D402" s="6" t="s">
        <v>823</v>
      </c>
      <c r="E402" s="7">
        <v>281.39999999999998</v>
      </c>
      <c r="F402" s="7">
        <v>274.60000000000002</v>
      </c>
      <c r="G402" s="7">
        <v>282</v>
      </c>
      <c r="H402" s="7">
        <v>273.10000000000002</v>
      </c>
      <c r="I402" s="7">
        <v>277.10000000000002</v>
      </c>
      <c r="J402" s="7">
        <v>2230500</v>
      </c>
      <c r="K402" s="7">
        <v>8000</v>
      </c>
      <c r="L402" s="7">
        <v>411</v>
      </c>
      <c r="M402" s="7">
        <v>192.25</v>
      </c>
      <c r="N402" s="8">
        <f t="shared" si="1"/>
        <v>277.64000000000004</v>
      </c>
    </row>
    <row r="403" spans="1:14" ht="15">
      <c r="A403" s="6" t="s">
        <v>17</v>
      </c>
      <c r="B403" s="6" t="s">
        <v>18</v>
      </c>
      <c r="C403" s="6" t="s">
        <v>824</v>
      </c>
      <c r="D403" s="6" t="s">
        <v>825</v>
      </c>
      <c r="E403" s="7">
        <v>649.85</v>
      </c>
      <c r="F403" s="7">
        <v>649.85</v>
      </c>
      <c r="G403" s="7">
        <v>669.9</v>
      </c>
      <c r="H403" s="7">
        <v>611.15</v>
      </c>
      <c r="I403" s="7">
        <v>623</v>
      </c>
      <c r="J403" s="7">
        <v>26318090</v>
      </c>
      <c r="K403" s="7">
        <v>41800</v>
      </c>
      <c r="L403" s="7">
        <v>1605.35</v>
      </c>
      <c r="M403" s="7">
        <v>590</v>
      </c>
      <c r="N403" s="8">
        <f t="shared" si="1"/>
        <v>640.75</v>
      </c>
    </row>
    <row r="404" spans="1:14" ht="15">
      <c r="A404" s="6" t="s">
        <v>17</v>
      </c>
      <c r="B404" s="6" t="s">
        <v>35</v>
      </c>
      <c r="C404" s="6" t="s">
        <v>826</v>
      </c>
      <c r="D404" s="6" t="s">
        <v>827</v>
      </c>
      <c r="E404" s="7">
        <v>600</v>
      </c>
      <c r="F404" s="7">
        <v>590</v>
      </c>
      <c r="G404" s="7">
        <v>590</v>
      </c>
      <c r="H404" s="7">
        <v>580</v>
      </c>
      <c r="I404" s="7">
        <v>586.65</v>
      </c>
      <c r="J404" s="7">
        <v>735000</v>
      </c>
      <c r="K404" s="7">
        <v>1250</v>
      </c>
      <c r="L404" s="7">
        <v>817.6</v>
      </c>
      <c r="M404" s="7">
        <v>152.55000000000001</v>
      </c>
      <c r="N404" s="8">
        <f t="shared" si="1"/>
        <v>589.33000000000004</v>
      </c>
    </row>
    <row r="405" spans="1:14" ht="15">
      <c r="A405" s="6" t="s">
        <v>17</v>
      </c>
      <c r="B405" s="6" t="s">
        <v>18</v>
      </c>
      <c r="C405" s="6" t="s">
        <v>828</v>
      </c>
      <c r="D405" s="6" t="s">
        <v>829</v>
      </c>
      <c r="E405" s="7">
        <v>68</v>
      </c>
      <c r="F405" s="7">
        <v>69</v>
      </c>
      <c r="G405" s="7">
        <v>69</v>
      </c>
      <c r="H405" s="7">
        <v>69</v>
      </c>
      <c r="I405" s="7">
        <v>69</v>
      </c>
      <c r="J405" s="7">
        <v>51750</v>
      </c>
      <c r="K405" s="7">
        <v>750</v>
      </c>
      <c r="L405" s="7">
        <v>107.85</v>
      </c>
      <c r="M405" s="7">
        <v>59</v>
      </c>
      <c r="N405" s="8">
        <f t="shared" si="1"/>
        <v>68.8</v>
      </c>
    </row>
    <row r="406" spans="1:14" ht="15">
      <c r="A406" s="6" t="s">
        <v>17</v>
      </c>
      <c r="B406" s="6" t="s">
        <v>18</v>
      </c>
      <c r="C406" s="6" t="s">
        <v>830</v>
      </c>
      <c r="D406" s="6" t="s">
        <v>831</v>
      </c>
      <c r="E406" s="7">
        <v>237</v>
      </c>
      <c r="F406" s="7">
        <v>244</v>
      </c>
      <c r="G406" s="7">
        <v>257.2</v>
      </c>
      <c r="H406" s="7">
        <v>240</v>
      </c>
      <c r="I406" s="7">
        <v>245.3</v>
      </c>
      <c r="J406" s="7">
        <v>6755920</v>
      </c>
      <c r="K406" s="7">
        <v>27200</v>
      </c>
      <c r="L406" s="7">
        <v>425</v>
      </c>
      <c r="M406" s="7">
        <v>193.9</v>
      </c>
      <c r="N406" s="8">
        <f t="shared" si="1"/>
        <v>244.7</v>
      </c>
    </row>
    <row r="407" spans="1:14" ht="15">
      <c r="A407" s="6" t="s">
        <v>17</v>
      </c>
      <c r="B407" s="6" t="s">
        <v>18</v>
      </c>
      <c r="C407" s="6" t="s">
        <v>832</v>
      </c>
      <c r="D407" s="6" t="s">
        <v>833</v>
      </c>
      <c r="E407" s="7">
        <v>76</v>
      </c>
      <c r="F407" s="7">
        <v>76.5</v>
      </c>
      <c r="G407" s="7">
        <v>77</v>
      </c>
      <c r="H407" s="7">
        <v>71.599999999999994</v>
      </c>
      <c r="I407" s="7">
        <v>72.05</v>
      </c>
      <c r="J407" s="7">
        <v>2114280</v>
      </c>
      <c r="K407" s="7">
        <v>28800</v>
      </c>
      <c r="L407" s="7">
        <v>175</v>
      </c>
      <c r="M407" s="7">
        <v>71.599999999999994</v>
      </c>
      <c r="N407" s="8">
        <f t="shared" si="1"/>
        <v>74.63</v>
      </c>
    </row>
    <row r="408" spans="1:14" ht="15">
      <c r="A408" s="6" t="s">
        <v>17</v>
      </c>
      <c r="B408" s="6" t="s">
        <v>18</v>
      </c>
      <c r="C408" s="6" t="s">
        <v>834</v>
      </c>
      <c r="D408" s="6" t="s">
        <v>835</v>
      </c>
      <c r="E408" s="7">
        <v>542.35</v>
      </c>
      <c r="F408" s="7">
        <v>535</v>
      </c>
      <c r="G408" s="7">
        <v>535</v>
      </c>
      <c r="H408" s="7">
        <v>485</v>
      </c>
      <c r="I408" s="7">
        <v>516.85</v>
      </c>
      <c r="J408" s="7">
        <v>17341740</v>
      </c>
      <c r="K408" s="7">
        <v>34200</v>
      </c>
      <c r="L408" s="7">
        <v>843.6</v>
      </c>
      <c r="M408" s="7">
        <v>366.7</v>
      </c>
      <c r="N408" s="8">
        <f t="shared" si="1"/>
        <v>522.83999999999992</v>
      </c>
    </row>
    <row r="409" spans="1:14" ht="15">
      <c r="A409" s="6" t="s">
        <v>17</v>
      </c>
      <c r="B409" s="6" t="s">
        <v>18</v>
      </c>
      <c r="C409" s="6" t="s">
        <v>836</v>
      </c>
      <c r="D409" s="6" t="s">
        <v>837</v>
      </c>
      <c r="E409" s="7">
        <v>206.3</v>
      </c>
      <c r="F409" s="7">
        <v>216.6</v>
      </c>
      <c r="G409" s="7">
        <v>216.6</v>
      </c>
      <c r="H409" s="7">
        <v>216.6</v>
      </c>
      <c r="I409" s="7">
        <v>216.6</v>
      </c>
      <c r="J409" s="7">
        <v>3465600</v>
      </c>
      <c r="K409" s="7">
        <v>16000</v>
      </c>
      <c r="L409" s="7">
        <v>325.7</v>
      </c>
      <c r="M409" s="7">
        <v>115.6</v>
      </c>
      <c r="N409" s="8">
        <f t="shared" si="1"/>
        <v>214.54000000000002</v>
      </c>
    </row>
    <row r="410" spans="1:14" ht="15">
      <c r="A410" s="6" t="s">
        <v>206</v>
      </c>
      <c r="B410" s="6" t="s">
        <v>35</v>
      </c>
      <c r="C410" s="6" t="s">
        <v>838</v>
      </c>
      <c r="D410" s="6" t="s">
        <v>839</v>
      </c>
      <c r="E410" s="7">
        <v>59.5</v>
      </c>
      <c r="F410" s="7">
        <v>58.35</v>
      </c>
      <c r="G410" s="7">
        <v>58.35</v>
      </c>
      <c r="H410" s="7">
        <v>58.35</v>
      </c>
      <c r="I410" s="7">
        <v>58.35</v>
      </c>
      <c r="J410" s="7">
        <v>163380</v>
      </c>
      <c r="K410" s="7">
        <v>2800</v>
      </c>
      <c r="L410" s="7">
        <v>487.95</v>
      </c>
      <c r="M410" s="7">
        <v>38.5</v>
      </c>
      <c r="N410" s="8">
        <f t="shared" si="1"/>
        <v>58.58</v>
      </c>
    </row>
    <row r="411" spans="1:14" ht="15">
      <c r="A411" s="6" t="s">
        <v>17</v>
      </c>
      <c r="B411" s="6" t="s">
        <v>18</v>
      </c>
      <c r="C411" s="6" t="s">
        <v>840</v>
      </c>
      <c r="D411" s="6" t="s">
        <v>841</v>
      </c>
      <c r="E411" s="7">
        <v>288</v>
      </c>
      <c r="F411" s="7">
        <v>300</v>
      </c>
      <c r="G411" s="7">
        <v>302.39999999999998</v>
      </c>
      <c r="H411" s="7">
        <v>300</v>
      </c>
      <c r="I411" s="7">
        <v>300</v>
      </c>
      <c r="J411" s="7">
        <v>841360</v>
      </c>
      <c r="K411" s="7">
        <v>2800</v>
      </c>
      <c r="L411" s="7">
        <v>363.6</v>
      </c>
      <c r="M411" s="7">
        <v>141.05000000000001</v>
      </c>
      <c r="N411" s="8">
        <f t="shared" si="1"/>
        <v>298.08000000000004</v>
      </c>
    </row>
    <row r="412" spans="1:14" ht="15">
      <c r="A412" s="6" t="s">
        <v>17</v>
      </c>
      <c r="B412" s="6" t="s">
        <v>18</v>
      </c>
      <c r="C412" s="6" t="s">
        <v>842</v>
      </c>
      <c r="D412" s="6" t="s">
        <v>843</v>
      </c>
      <c r="E412" s="7">
        <v>88</v>
      </c>
      <c r="F412" s="7">
        <v>88</v>
      </c>
      <c r="G412" s="7">
        <v>89</v>
      </c>
      <c r="H412" s="7">
        <v>87.3</v>
      </c>
      <c r="I412" s="7">
        <v>88.85</v>
      </c>
      <c r="J412" s="7">
        <v>1844160</v>
      </c>
      <c r="K412" s="7">
        <v>20800</v>
      </c>
      <c r="L412" s="7">
        <v>137</v>
      </c>
      <c r="M412" s="7">
        <v>77.150000000000006</v>
      </c>
      <c r="N412" s="8">
        <f t="shared" si="1"/>
        <v>88.22999999999999</v>
      </c>
    </row>
    <row r="413" spans="1:14" ht="15">
      <c r="A413" s="6" t="s">
        <v>17</v>
      </c>
      <c r="B413" s="6" t="s">
        <v>18</v>
      </c>
      <c r="C413" s="6" t="s">
        <v>844</v>
      </c>
      <c r="D413" s="6" t="s">
        <v>845</v>
      </c>
      <c r="E413" s="7">
        <v>23.8</v>
      </c>
      <c r="F413" s="7">
        <v>22.65</v>
      </c>
      <c r="G413" s="7">
        <v>22.65</v>
      </c>
      <c r="H413" s="7">
        <v>22.65</v>
      </c>
      <c r="I413" s="7">
        <v>22.65</v>
      </c>
      <c r="J413" s="7">
        <v>271800</v>
      </c>
      <c r="K413" s="7">
        <v>12000</v>
      </c>
      <c r="L413" s="7">
        <v>43.5</v>
      </c>
      <c r="M413" s="7">
        <v>22.65</v>
      </c>
      <c r="N413" s="8">
        <f t="shared" si="1"/>
        <v>22.88</v>
      </c>
    </row>
    <row r="414" spans="1:14" ht="15">
      <c r="A414" s="6" t="s">
        <v>17</v>
      </c>
      <c r="B414" s="6" t="s">
        <v>18</v>
      </c>
      <c r="C414" s="6" t="s">
        <v>846</v>
      </c>
      <c r="D414" s="6" t="s">
        <v>847</v>
      </c>
      <c r="E414" s="7">
        <v>41</v>
      </c>
      <c r="F414" s="7">
        <v>43.05</v>
      </c>
      <c r="G414" s="7">
        <v>43.05</v>
      </c>
      <c r="H414" s="7">
        <v>43.05</v>
      </c>
      <c r="I414" s="7">
        <v>43.05</v>
      </c>
      <c r="J414" s="7">
        <v>86100</v>
      </c>
      <c r="K414" s="7">
        <v>2000</v>
      </c>
      <c r="L414" s="7">
        <v>69.650000000000006</v>
      </c>
      <c r="M414" s="7">
        <v>38.4</v>
      </c>
      <c r="N414" s="8">
        <f t="shared" si="1"/>
        <v>42.64</v>
      </c>
    </row>
    <row r="415" spans="1:14" ht="15">
      <c r="A415" s="6" t="s">
        <v>17</v>
      </c>
      <c r="B415" s="6" t="s">
        <v>18</v>
      </c>
      <c r="C415" s="6" t="s">
        <v>848</v>
      </c>
      <c r="D415" s="6" t="s">
        <v>849</v>
      </c>
      <c r="E415" s="7">
        <v>142.05000000000001</v>
      </c>
      <c r="F415" s="7">
        <v>142.1</v>
      </c>
      <c r="G415" s="7">
        <v>152.94999999999999</v>
      </c>
      <c r="H415" s="7">
        <v>141.05000000000001</v>
      </c>
      <c r="I415" s="7">
        <v>145.19999999999999</v>
      </c>
      <c r="J415" s="7">
        <v>29497900</v>
      </c>
      <c r="K415" s="7">
        <v>200000</v>
      </c>
      <c r="L415" s="7">
        <v>167.95</v>
      </c>
      <c r="M415" s="7">
        <v>85</v>
      </c>
      <c r="N415" s="8">
        <f t="shared" si="1"/>
        <v>144.66999999999999</v>
      </c>
    </row>
    <row r="416" spans="1:14" ht="15">
      <c r="A416" s="6" t="s">
        <v>17</v>
      </c>
      <c r="B416" s="6" t="s">
        <v>18</v>
      </c>
      <c r="C416" s="6" t="s">
        <v>850</v>
      </c>
      <c r="D416" s="6" t="s">
        <v>851</v>
      </c>
      <c r="E416" s="7">
        <v>226.45</v>
      </c>
      <c r="F416" s="7">
        <v>233</v>
      </c>
      <c r="G416" s="7">
        <v>237.75</v>
      </c>
      <c r="H416" s="7">
        <v>233</v>
      </c>
      <c r="I416" s="7">
        <v>237.75</v>
      </c>
      <c r="J416" s="7">
        <v>1394063</v>
      </c>
      <c r="K416" s="7">
        <v>5875</v>
      </c>
      <c r="L416" s="7">
        <v>1328</v>
      </c>
      <c r="M416" s="7">
        <v>204.95</v>
      </c>
      <c r="N416" s="8">
        <f t="shared" si="1"/>
        <v>233.59</v>
      </c>
    </row>
    <row r="417" spans="1:14" ht="15">
      <c r="A417" s="6" t="s">
        <v>17</v>
      </c>
      <c r="B417" s="6" t="s">
        <v>18</v>
      </c>
      <c r="C417" s="6" t="s">
        <v>852</v>
      </c>
      <c r="D417" s="6" t="s">
        <v>853</v>
      </c>
      <c r="E417" s="7">
        <v>15.15</v>
      </c>
      <c r="F417" s="7">
        <v>14.5</v>
      </c>
      <c r="G417" s="7">
        <v>14.5</v>
      </c>
      <c r="H417" s="7">
        <v>14.5</v>
      </c>
      <c r="I417" s="7">
        <v>14.5</v>
      </c>
      <c r="J417" s="7">
        <v>43500</v>
      </c>
      <c r="K417" s="7">
        <v>3000</v>
      </c>
      <c r="L417" s="7">
        <v>37.799999999999997</v>
      </c>
      <c r="M417" s="7">
        <v>13</v>
      </c>
      <c r="N417" s="8">
        <f t="shared" si="1"/>
        <v>14.63</v>
      </c>
    </row>
    <row r="418" spans="1:14" ht="15">
      <c r="A418" s="6" t="s">
        <v>17</v>
      </c>
      <c r="B418" s="6" t="s">
        <v>18</v>
      </c>
      <c r="C418" s="6" t="s">
        <v>854</v>
      </c>
      <c r="D418" s="6" t="s">
        <v>855</v>
      </c>
      <c r="E418" s="7">
        <v>61.35</v>
      </c>
      <c r="F418" s="7">
        <v>61.4</v>
      </c>
      <c r="G418" s="7">
        <v>61.4</v>
      </c>
      <c r="H418" s="7">
        <v>55.2</v>
      </c>
      <c r="I418" s="7">
        <v>56.6</v>
      </c>
      <c r="J418" s="7">
        <v>1499070</v>
      </c>
      <c r="K418" s="7">
        <v>25800</v>
      </c>
      <c r="L418" s="7">
        <v>227.55</v>
      </c>
      <c r="M418" s="7">
        <v>55.2</v>
      </c>
      <c r="N418" s="8">
        <f t="shared" si="1"/>
        <v>59.19</v>
      </c>
    </row>
    <row r="419" spans="1:14" ht="15">
      <c r="A419" s="6" t="s">
        <v>17</v>
      </c>
      <c r="B419" s="6" t="s">
        <v>18</v>
      </c>
      <c r="C419" s="6" t="s">
        <v>856</v>
      </c>
      <c r="D419" s="6" t="s">
        <v>857</v>
      </c>
      <c r="E419" s="7">
        <v>42.9</v>
      </c>
      <c r="F419" s="7">
        <v>42.9</v>
      </c>
      <c r="G419" s="7">
        <v>42.9</v>
      </c>
      <c r="H419" s="7">
        <v>39.15</v>
      </c>
      <c r="I419" s="7">
        <v>40.25</v>
      </c>
      <c r="J419" s="7">
        <v>1146120</v>
      </c>
      <c r="K419" s="7">
        <v>27600</v>
      </c>
      <c r="L419" s="7">
        <v>120</v>
      </c>
      <c r="M419" s="7">
        <v>39.15</v>
      </c>
      <c r="N419" s="8">
        <f t="shared" si="1"/>
        <v>41.62</v>
      </c>
    </row>
    <row r="420" spans="1:14" ht="15">
      <c r="A420" s="6" t="s">
        <v>17</v>
      </c>
      <c r="B420" s="6" t="s">
        <v>18</v>
      </c>
      <c r="C420" s="6" t="s">
        <v>858</v>
      </c>
      <c r="D420" s="6" t="s">
        <v>859</v>
      </c>
      <c r="E420" s="7">
        <v>39</v>
      </c>
      <c r="F420" s="7">
        <v>37.950000000000003</v>
      </c>
      <c r="G420" s="7">
        <v>37.950000000000003</v>
      </c>
      <c r="H420" s="7">
        <v>35.1</v>
      </c>
      <c r="I420" s="7">
        <v>35.9</v>
      </c>
      <c r="J420" s="7">
        <v>511400</v>
      </c>
      <c r="K420" s="7">
        <v>14000</v>
      </c>
      <c r="L420" s="7">
        <v>79.3</v>
      </c>
      <c r="M420" s="7">
        <v>34.1</v>
      </c>
      <c r="N420" s="8">
        <f t="shared" si="1"/>
        <v>37.18</v>
      </c>
    </row>
    <row r="421" spans="1:14" ht="15">
      <c r="A421" s="6" t="s">
        <v>17</v>
      </c>
      <c r="B421" s="6" t="s">
        <v>18</v>
      </c>
      <c r="C421" s="6" t="s">
        <v>860</v>
      </c>
      <c r="D421" s="6" t="s">
        <v>861</v>
      </c>
      <c r="E421" s="7">
        <v>30.05</v>
      </c>
      <c r="F421" s="7">
        <v>30.05</v>
      </c>
      <c r="G421" s="7">
        <v>30.3</v>
      </c>
      <c r="H421" s="7">
        <v>27.05</v>
      </c>
      <c r="I421" s="7">
        <v>27.6</v>
      </c>
      <c r="J421" s="7">
        <v>15615900</v>
      </c>
      <c r="K421" s="7">
        <v>562000</v>
      </c>
      <c r="L421" s="7">
        <v>49.8</v>
      </c>
      <c r="M421" s="7">
        <v>27.05</v>
      </c>
      <c r="N421" s="8">
        <f t="shared" si="1"/>
        <v>29.01</v>
      </c>
    </row>
    <row r="422" spans="1:14" ht="15">
      <c r="A422" s="6" t="s">
        <v>17</v>
      </c>
      <c r="B422" s="6" t="s">
        <v>18</v>
      </c>
      <c r="C422" s="6" t="s">
        <v>862</v>
      </c>
      <c r="D422" s="6" t="s">
        <v>863</v>
      </c>
      <c r="E422" s="7">
        <v>18.850000000000001</v>
      </c>
      <c r="F422" s="7">
        <v>18.7</v>
      </c>
      <c r="G422" s="7">
        <v>19.75</v>
      </c>
      <c r="H422" s="7">
        <v>18.5</v>
      </c>
      <c r="I422" s="7">
        <v>18.95</v>
      </c>
      <c r="J422" s="7">
        <v>1051200</v>
      </c>
      <c r="K422" s="7">
        <v>56000</v>
      </c>
      <c r="L422" s="7">
        <v>33.75</v>
      </c>
      <c r="M422" s="7">
        <v>18.5</v>
      </c>
      <c r="N422" s="8">
        <f t="shared" si="1"/>
        <v>18.95</v>
      </c>
    </row>
    <row r="423" spans="1:14" ht="15">
      <c r="A423" s="6" t="s">
        <v>17</v>
      </c>
      <c r="B423" s="6" t="s">
        <v>35</v>
      </c>
      <c r="C423" s="6" t="s">
        <v>864</v>
      </c>
      <c r="D423" s="6" t="s">
        <v>865</v>
      </c>
      <c r="E423" s="7">
        <v>278.25</v>
      </c>
      <c r="F423" s="7">
        <v>275</v>
      </c>
      <c r="G423" s="7">
        <v>292.14999999999998</v>
      </c>
      <c r="H423" s="7">
        <v>275</v>
      </c>
      <c r="I423" s="7">
        <v>292.10000000000002</v>
      </c>
      <c r="J423" s="7">
        <v>3143700</v>
      </c>
      <c r="K423" s="7">
        <v>11000</v>
      </c>
      <c r="L423" s="7">
        <v>390.6</v>
      </c>
      <c r="M423" s="7">
        <v>120</v>
      </c>
      <c r="N423" s="8">
        <f t="shared" si="1"/>
        <v>282.5</v>
      </c>
    </row>
    <row r="424" spans="1:14" ht="15">
      <c r="A424" s="6" t="s">
        <v>17</v>
      </c>
      <c r="B424" s="6" t="s">
        <v>18</v>
      </c>
      <c r="C424" s="6" t="s">
        <v>866</v>
      </c>
      <c r="D424" s="6" t="s">
        <v>867</v>
      </c>
      <c r="E424" s="7">
        <v>53.95</v>
      </c>
      <c r="F424" s="7">
        <v>54</v>
      </c>
      <c r="G424" s="7">
        <v>54</v>
      </c>
      <c r="H424" s="7">
        <v>48.25</v>
      </c>
      <c r="I424" s="7">
        <v>49.55</v>
      </c>
      <c r="J424" s="7">
        <v>4457700</v>
      </c>
      <c r="K424" s="7">
        <v>88000</v>
      </c>
      <c r="L424" s="7">
        <v>98</v>
      </c>
      <c r="M424" s="7">
        <v>48.25</v>
      </c>
      <c r="N424" s="8">
        <f t="shared" si="1"/>
        <v>51.95</v>
      </c>
    </row>
    <row r="425" spans="1:14" ht="15">
      <c r="A425" s="6" t="s">
        <v>17</v>
      </c>
      <c r="B425" s="6" t="s">
        <v>18</v>
      </c>
      <c r="C425" s="6" t="s">
        <v>868</v>
      </c>
      <c r="D425" s="6" t="s">
        <v>869</v>
      </c>
      <c r="E425" s="7">
        <v>139</v>
      </c>
      <c r="F425" s="7">
        <v>140.5</v>
      </c>
      <c r="G425" s="7">
        <v>140.5</v>
      </c>
      <c r="H425" s="7">
        <v>140.5</v>
      </c>
      <c r="I425" s="7">
        <v>140.5</v>
      </c>
      <c r="J425" s="7">
        <v>180402</v>
      </c>
      <c r="K425" s="7">
        <v>1284</v>
      </c>
      <c r="L425" s="7">
        <v>314.39999999999998</v>
      </c>
      <c r="M425" s="7">
        <v>130.69999999999999</v>
      </c>
      <c r="N425" s="8">
        <f t="shared" si="1"/>
        <v>140.19999999999999</v>
      </c>
    </row>
    <row r="426" spans="1:14" ht="15">
      <c r="A426" s="6" t="s">
        <v>17</v>
      </c>
      <c r="B426" s="6" t="s">
        <v>18</v>
      </c>
      <c r="C426" s="6" t="s">
        <v>870</v>
      </c>
      <c r="D426" s="6" t="s">
        <v>871</v>
      </c>
      <c r="E426" s="7">
        <v>138</v>
      </c>
      <c r="F426" s="7">
        <v>138</v>
      </c>
      <c r="G426" s="7">
        <v>141</v>
      </c>
      <c r="H426" s="7">
        <v>135.05000000000001</v>
      </c>
      <c r="I426" s="7">
        <v>138</v>
      </c>
      <c r="J426" s="7">
        <v>1658120</v>
      </c>
      <c r="K426" s="7">
        <v>12000</v>
      </c>
      <c r="L426" s="7">
        <v>590</v>
      </c>
      <c r="M426" s="7">
        <v>134.30000000000001</v>
      </c>
      <c r="N426" s="8">
        <f t="shared" si="1"/>
        <v>138.01</v>
      </c>
    </row>
    <row r="427" spans="1:14" ht="15">
      <c r="A427" s="6" t="s">
        <v>17</v>
      </c>
      <c r="B427" s="6" t="s">
        <v>18</v>
      </c>
      <c r="C427" s="6" t="s">
        <v>872</v>
      </c>
      <c r="D427" s="6" t="s">
        <v>873</v>
      </c>
      <c r="E427" s="7">
        <v>29</v>
      </c>
      <c r="F427" s="7">
        <v>29.85</v>
      </c>
      <c r="G427" s="7">
        <v>29.85</v>
      </c>
      <c r="H427" s="7">
        <v>28.5</v>
      </c>
      <c r="I427" s="7">
        <v>28.5</v>
      </c>
      <c r="J427" s="7">
        <v>458960</v>
      </c>
      <c r="K427" s="7">
        <v>16000</v>
      </c>
      <c r="L427" s="7">
        <v>117.9</v>
      </c>
      <c r="M427" s="7">
        <v>26.75</v>
      </c>
      <c r="N427" s="8">
        <f t="shared" si="1"/>
        <v>29.139999999999997</v>
      </c>
    </row>
    <row r="428" spans="1:14" ht="15">
      <c r="A428" s="6" t="s">
        <v>17</v>
      </c>
      <c r="B428" s="6" t="s">
        <v>18</v>
      </c>
      <c r="C428" s="6" t="s">
        <v>874</v>
      </c>
      <c r="D428" s="6" t="s">
        <v>875</v>
      </c>
      <c r="E428" s="7">
        <v>52</v>
      </c>
      <c r="F428" s="7">
        <v>52</v>
      </c>
      <c r="G428" s="7">
        <v>52</v>
      </c>
      <c r="H428" s="7">
        <v>52</v>
      </c>
      <c r="I428" s="7">
        <v>52</v>
      </c>
      <c r="J428" s="7">
        <v>624000</v>
      </c>
      <c r="K428" s="7">
        <v>12000</v>
      </c>
      <c r="L428" s="7">
        <v>67.099999999999994</v>
      </c>
      <c r="M428" s="7">
        <v>38</v>
      </c>
      <c r="N428" s="8">
        <f t="shared" si="1"/>
        <v>52</v>
      </c>
    </row>
    <row r="429" spans="1:14" ht="15">
      <c r="A429" s="6" t="s">
        <v>17</v>
      </c>
      <c r="B429" s="6" t="s">
        <v>18</v>
      </c>
      <c r="C429" s="6" t="s">
        <v>876</v>
      </c>
      <c r="D429" s="6" t="s">
        <v>877</v>
      </c>
      <c r="E429" s="7">
        <v>226.55</v>
      </c>
      <c r="F429" s="7">
        <v>225.5</v>
      </c>
      <c r="G429" s="7">
        <v>226.05</v>
      </c>
      <c r="H429" s="7">
        <v>218.05</v>
      </c>
      <c r="I429" s="7">
        <v>221.35</v>
      </c>
      <c r="J429" s="7">
        <v>7453620</v>
      </c>
      <c r="K429" s="7">
        <v>33600</v>
      </c>
      <c r="L429" s="7">
        <v>281</v>
      </c>
      <c r="M429" s="7">
        <v>145.05000000000001</v>
      </c>
      <c r="N429" s="8">
        <f t="shared" si="1"/>
        <v>223.5</v>
      </c>
    </row>
    <row r="430" spans="1:14" ht="15">
      <c r="A430" s="6" t="s">
        <v>17</v>
      </c>
      <c r="B430" s="6" t="s">
        <v>18</v>
      </c>
      <c r="C430" s="6" t="s">
        <v>878</v>
      </c>
      <c r="D430" s="6" t="s">
        <v>879</v>
      </c>
      <c r="E430" s="7">
        <v>571.04999999999995</v>
      </c>
      <c r="F430" s="7">
        <v>571.04999999999995</v>
      </c>
      <c r="G430" s="7">
        <v>574.9</v>
      </c>
      <c r="H430" s="7">
        <v>526</v>
      </c>
      <c r="I430" s="7">
        <v>539.85</v>
      </c>
      <c r="J430" s="7">
        <v>33831763</v>
      </c>
      <c r="K430" s="7">
        <v>62500</v>
      </c>
      <c r="L430" s="7">
        <v>805</v>
      </c>
      <c r="M430" s="7">
        <v>200.3</v>
      </c>
      <c r="N430" s="8">
        <f t="shared" si="1"/>
        <v>556.56999999999994</v>
      </c>
    </row>
    <row r="431" spans="1:14" ht="15">
      <c r="A431" s="6" t="s">
        <v>17</v>
      </c>
      <c r="B431" s="6" t="s">
        <v>18</v>
      </c>
      <c r="C431" s="6" t="s">
        <v>880</v>
      </c>
      <c r="D431" s="6" t="s">
        <v>881</v>
      </c>
      <c r="E431" s="7">
        <v>155.05000000000001</v>
      </c>
      <c r="F431" s="7">
        <v>162.75</v>
      </c>
      <c r="G431" s="7">
        <v>162.75</v>
      </c>
      <c r="H431" s="7">
        <v>162.75</v>
      </c>
      <c r="I431" s="7">
        <v>162.75</v>
      </c>
      <c r="J431" s="7">
        <v>65100</v>
      </c>
      <c r="K431" s="7">
        <v>400</v>
      </c>
      <c r="L431" s="7">
        <v>315</v>
      </c>
      <c r="M431" s="7">
        <v>138</v>
      </c>
      <c r="N431" s="8">
        <f t="shared" si="1"/>
        <v>161.20999999999998</v>
      </c>
    </row>
    <row r="432" spans="1:14" ht="15">
      <c r="A432" s="6" t="s">
        <v>17</v>
      </c>
      <c r="B432" s="6" t="s">
        <v>18</v>
      </c>
      <c r="C432" s="6" t="s">
        <v>882</v>
      </c>
      <c r="D432" s="6" t="s">
        <v>883</v>
      </c>
      <c r="E432" s="7">
        <v>29</v>
      </c>
      <c r="F432" s="7">
        <v>31.5</v>
      </c>
      <c r="G432" s="7">
        <v>31.5</v>
      </c>
      <c r="H432" s="7">
        <v>27</v>
      </c>
      <c r="I432" s="7">
        <v>27</v>
      </c>
      <c r="J432" s="7">
        <v>340575</v>
      </c>
      <c r="K432" s="7">
        <v>12000</v>
      </c>
      <c r="L432" s="7">
        <v>63.45</v>
      </c>
      <c r="M432" s="7">
        <v>22.15</v>
      </c>
      <c r="N432" s="8">
        <f t="shared" si="1"/>
        <v>29.2</v>
      </c>
    </row>
    <row r="433" spans="1:14" ht="15">
      <c r="A433" s="6" t="s">
        <v>17</v>
      </c>
      <c r="B433" s="6" t="s">
        <v>18</v>
      </c>
      <c r="C433" s="6" t="s">
        <v>884</v>
      </c>
      <c r="D433" s="6" t="s">
        <v>885</v>
      </c>
      <c r="E433" s="7">
        <v>233.8</v>
      </c>
      <c r="F433" s="7">
        <v>233.8</v>
      </c>
      <c r="G433" s="7">
        <v>233.8</v>
      </c>
      <c r="H433" s="7">
        <v>233.8</v>
      </c>
      <c r="I433" s="7">
        <v>233.8</v>
      </c>
      <c r="J433" s="7">
        <v>187040</v>
      </c>
      <c r="K433" s="7">
        <v>800</v>
      </c>
      <c r="L433" s="7">
        <v>335</v>
      </c>
      <c r="M433" s="7">
        <v>81.099999999999994</v>
      </c>
      <c r="N433" s="8">
        <f t="shared" si="1"/>
        <v>233.8</v>
      </c>
    </row>
    <row r="434" spans="1:14" ht="15">
      <c r="A434" s="6" t="s">
        <v>17</v>
      </c>
      <c r="B434" s="6" t="s">
        <v>18</v>
      </c>
      <c r="C434" s="6" t="s">
        <v>886</v>
      </c>
      <c r="D434" s="6" t="s">
        <v>887</v>
      </c>
      <c r="E434" s="7">
        <v>606</v>
      </c>
      <c r="F434" s="7">
        <v>601.5</v>
      </c>
      <c r="G434" s="7">
        <v>610</v>
      </c>
      <c r="H434" s="7">
        <v>601.5</v>
      </c>
      <c r="I434" s="7">
        <v>608.35</v>
      </c>
      <c r="J434" s="7">
        <v>2872125</v>
      </c>
      <c r="K434" s="7">
        <v>4750</v>
      </c>
      <c r="L434" s="7">
        <v>704</v>
      </c>
      <c r="M434" s="7">
        <v>533</v>
      </c>
      <c r="N434" s="8">
        <f t="shared" si="1"/>
        <v>605.47</v>
      </c>
    </row>
    <row r="435" spans="1:14" ht="15">
      <c r="A435" s="6" t="s">
        <v>17</v>
      </c>
      <c r="B435" s="6" t="s">
        <v>18</v>
      </c>
      <c r="C435" s="6" t="s">
        <v>888</v>
      </c>
      <c r="D435" s="6" t="s">
        <v>889</v>
      </c>
      <c r="E435" s="7">
        <v>97.8</v>
      </c>
      <c r="F435" s="7">
        <v>93.05</v>
      </c>
      <c r="G435" s="7">
        <v>94.5</v>
      </c>
      <c r="H435" s="7">
        <v>92.95</v>
      </c>
      <c r="I435" s="7">
        <v>92.95</v>
      </c>
      <c r="J435" s="7">
        <v>1351775</v>
      </c>
      <c r="K435" s="7">
        <v>14500</v>
      </c>
      <c r="L435" s="7">
        <v>318</v>
      </c>
      <c r="M435" s="7">
        <v>92.95</v>
      </c>
      <c r="N435" s="8">
        <f t="shared" si="1"/>
        <v>94.25</v>
      </c>
    </row>
    <row r="436" spans="1:14" ht="15">
      <c r="A436" s="6" t="s">
        <v>17</v>
      </c>
      <c r="B436" s="6" t="s">
        <v>18</v>
      </c>
      <c r="C436" s="6" t="s">
        <v>890</v>
      </c>
      <c r="D436" s="6" t="s">
        <v>891</v>
      </c>
      <c r="E436" s="7">
        <v>46.2</v>
      </c>
      <c r="F436" s="7">
        <v>48.25</v>
      </c>
      <c r="G436" s="7">
        <v>48.5</v>
      </c>
      <c r="H436" s="7">
        <v>48.25</v>
      </c>
      <c r="I436" s="7">
        <v>48.5</v>
      </c>
      <c r="J436" s="7">
        <v>116100</v>
      </c>
      <c r="K436" s="7">
        <v>2400</v>
      </c>
      <c r="L436" s="7">
        <v>95.9</v>
      </c>
      <c r="M436" s="7">
        <v>44</v>
      </c>
      <c r="N436" s="8">
        <f t="shared" si="1"/>
        <v>47.94</v>
      </c>
    </row>
    <row r="437" spans="1:14" ht="15">
      <c r="A437" s="6" t="s">
        <v>17</v>
      </c>
      <c r="B437" s="6" t="s">
        <v>18</v>
      </c>
      <c r="C437" s="6" t="s">
        <v>892</v>
      </c>
      <c r="D437" s="6" t="s">
        <v>893</v>
      </c>
      <c r="E437" s="7">
        <v>64.5</v>
      </c>
      <c r="F437" s="7">
        <v>67.650000000000006</v>
      </c>
      <c r="G437" s="7">
        <v>67.650000000000006</v>
      </c>
      <c r="H437" s="7">
        <v>65</v>
      </c>
      <c r="I437" s="7">
        <v>65</v>
      </c>
      <c r="J437" s="7">
        <v>655600</v>
      </c>
      <c r="K437" s="7">
        <v>10000</v>
      </c>
      <c r="L437" s="7">
        <v>99.55</v>
      </c>
      <c r="M437" s="7">
        <v>49.3</v>
      </c>
      <c r="N437" s="8">
        <f t="shared" si="1"/>
        <v>65.960000000000008</v>
      </c>
    </row>
    <row r="438" spans="1:14" ht="15">
      <c r="A438" s="6" t="s">
        <v>17</v>
      </c>
      <c r="B438" s="6" t="s">
        <v>35</v>
      </c>
      <c r="C438" s="6" t="s">
        <v>894</v>
      </c>
      <c r="D438" s="6" t="s">
        <v>895</v>
      </c>
      <c r="E438" s="7">
        <v>21.85</v>
      </c>
      <c r="F438" s="7">
        <v>21.4</v>
      </c>
      <c r="G438" s="7">
        <v>22.9</v>
      </c>
      <c r="H438" s="7">
        <v>21.3</v>
      </c>
      <c r="I438" s="7">
        <v>22.9</v>
      </c>
      <c r="J438" s="7">
        <v>13353000</v>
      </c>
      <c r="K438" s="7">
        <v>603000</v>
      </c>
      <c r="L438" s="7">
        <v>34.450000000000003</v>
      </c>
      <c r="M438" s="7">
        <v>21.3</v>
      </c>
      <c r="N438" s="8">
        <f t="shared" si="1"/>
        <v>22.07</v>
      </c>
    </row>
    <row r="439" spans="1:14" ht="15">
      <c r="A439" s="6" t="s">
        <v>17</v>
      </c>
      <c r="B439" s="6" t="s">
        <v>18</v>
      </c>
      <c r="C439" s="6" t="s">
        <v>896</v>
      </c>
      <c r="D439" s="6" t="s">
        <v>897</v>
      </c>
      <c r="E439" s="7">
        <v>66</v>
      </c>
      <c r="F439" s="7">
        <v>60</v>
      </c>
      <c r="G439" s="7">
        <v>64.25</v>
      </c>
      <c r="H439" s="7">
        <v>60</v>
      </c>
      <c r="I439" s="7">
        <v>63.1</v>
      </c>
      <c r="J439" s="7">
        <v>601120</v>
      </c>
      <c r="K439" s="7">
        <v>9600</v>
      </c>
      <c r="L439" s="7">
        <v>98</v>
      </c>
      <c r="M439" s="7">
        <v>60</v>
      </c>
      <c r="N439" s="8">
        <f t="shared" si="1"/>
        <v>62.67</v>
      </c>
    </row>
    <row r="440" spans="1:14" ht="15">
      <c r="A440" s="6" t="s">
        <v>17</v>
      </c>
      <c r="B440" s="6" t="s">
        <v>18</v>
      </c>
      <c r="C440" s="6" t="s">
        <v>898</v>
      </c>
      <c r="D440" s="6" t="s">
        <v>899</v>
      </c>
      <c r="E440" s="7">
        <v>43.5</v>
      </c>
      <c r="F440" s="7">
        <v>41.1</v>
      </c>
      <c r="G440" s="7">
        <v>42</v>
      </c>
      <c r="H440" s="7">
        <v>40.799999999999997</v>
      </c>
      <c r="I440" s="7">
        <v>41.5</v>
      </c>
      <c r="J440" s="7">
        <v>1159600</v>
      </c>
      <c r="K440" s="7">
        <v>28000</v>
      </c>
      <c r="L440" s="7">
        <v>55.5</v>
      </c>
      <c r="M440" s="7">
        <v>35</v>
      </c>
      <c r="N440" s="8">
        <f t="shared" si="1"/>
        <v>41.779999999999994</v>
      </c>
    </row>
    <row r="441" spans="1:14" ht="15">
      <c r="A441" s="6" t="s">
        <v>17</v>
      </c>
      <c r="B441" s="6" t="s">
        <v>18</v>
      </c>
      <c r="C441" s="6" t="s">
        <v>900</v>
      </c>
      <c r="D441" s="6" t="s">
        <v>901</v>
      </c>
      <c r="E441" s="7">
        <v>345.15</v>
      </c>
      <c r="F441" s="7">
        <v>340.15</v>
      </c>
      <c r="G441" s="7">
        <v>346</v>
      </c>
      <c r="H441" s="7">
        <v>325</v>
      </c>
      <c r="I441" s="7">
        <v>335.65</v>
      </c>
      <c r="J441" s="7">
        <v>5181425</v>
      </c>
      <c r="K441" s="7">
        <v>15500</v>
      </c>
      <c r="L441" s="7">
        <v>673.7</v>
      </c>
      <c r="M441" s="7">
        <v>291</v>
      </c>
      <c r="N441" s="8">
        <f t="shared" si="1"/>
        <v>338.39</v>
      </c>
    </row>
    <row r="442" spans="1:14" ht="15">
      <c r="A442" s="6" t="s">
        <v>17</v>
      </c>
      <c r="B442" s="6" t="s">
        <v>35</v>
      </c>
      <c r="C442" s="6" t="s">
        <v>902</v>
      </c>
      <c r="D442" s="6" t="s">
        <v>903</v>
      </c>
      <c r="E442" s="7">
        <v>31.8</v>
      </c>
      <c r="F442" s="7">
        <v>33.35</v>
      </c>
      <c r="G442" s="7">
        <v>33.35</v>
      </c>
      <c r="H442" s="7">
        <v>31.8</v>
      </c>
      <c r="I442" s="7">
        <v>33.35</v>
      </c>
      <c r="J442" s="7">
        <v>3807800</v>
      </c>
      <c r="K442" s="7">
        <v>116000</v>
      </c>
      <c r="L442" s="7">
        <v>33.35</v>
      </c>
      <c r="M442" s="7">
        <v>16.5</v>
      </c>
      <c r="N442" s="8">
        <f t="shared" si="1"/>
        <v>32.730000000000004</v>
      </c>
    </row>
    <row r="443" spans="1:14" ht="15">
      <c r="A443" s="6" t="s">
        <v>17</v>
      </c>
      <c r="B443" s="6" t="s">
        <v>18</v>
      </c>
      <c r="C443" s="6" t="s">
        <v>904</v>
      </c>
      <c r="D443" s="6" t="s">
        <v>905</v>
      </c>
      <c r="E443" s="7">
        <v>372.3</v>
      </c>
      <c r="F443" s="7">
        <v>371.45</v>
      </c>
      <c r="G443" s="7">
        <v>377.55</v>
      </c>
      <c r="H443" s="7">
        <v>369</v>
      </c>
      <c r="I443" s="7">
        <v>371.25</v>
      </c>
      <c r="J443" s="7">
        <v>3806388</v>
      </c>
      <c r="K443" s="7">
        <v>10250</v>
      </c>
      <c r="L443" s="7">
        <v>475</v>
      </c>
      <c r="M443" s="7">
        <v>300</v>
      </c>
      <c r="N443" s="8">
        <f t="shared" si="1"/>
        <v>372.31</v>
      </c>
    </row>
    <row r="444" spans="1:14" ht="15">
      <c r="A444" s="6" t="s">
        <v>17</v>
      </c>
      <c r="B444" s="6" t="s">
        <v>18</v>
      </c>
      <c r="C444" s="6" t="s">
        <v>906</v>
      </c>
      <c r="D444" s="6" t="s">
        <v>907</v>
      </c>
      <c r="E444" s="7">
        <v>1042.7</v>
      </c>
      <c r="F444" s="7">
        <v>1035</v>
      </c>
      <c r="G444" s="7">
        <v>1069</v>
      </c>
      <c r="H444" s="7">
        <v>1035</v>
      </c>
      <c r="I444" s="7">
        <v>1060.6500000000001</v>
      </c>
      <c r="J444" s="7">
        <v>12487155</v>
      </c>
      <c r="K444" s="7">
        <v>11800</v>
      </c>
      <c r="L444" s="7">
        <v>1440</v>
      </c>
      <c r="M444" s="7">
        <v>575.79999999999995</v>
      </c>
      <c r="N444" s="8">
        <f t="shared" si="1"/>
        <v>1048.4699999999998</v>
      </c>
    </row>
    <row r="445" spans="1:14" ht="15">
      <c r="A445" s="6" t="s">
        <v>17</v>
      </c>
      <c r="B445" s="6" t="s">
        <v>18</v>
      </c>
      <c r="C445" s="6" t="s">
        <v>908</v>
      </c>
      <c r="D445" s="6" t="s">
        <v>909</v>
      </c>
      <c r="E445" s="7">
        <v>139.55000000000001</v>
      </c>
      <c r="F445" s="7">
        <v>140</v>
      </c>
      <c r="G445" s="7">
        <v>143</v>
      </c>
      <c r="H445" s="7">
        <v>138</v>
      </c>
      <c r="I445" s="7">
        <v>142.15</v>
      </c>
      <c r="J445" s="7">
        <v>3227200</v>
      </c>
      <c r="K445" s="7">
        <v>23000</v>
      </c>
      <c r="L445" s="7">
        <v>208</v>
      </c>
      <c r="M445" s="7">
        <v>122</v>
      </c>
      <c r="N445" s="8">
        <f t="shared" si="1"/>
        <v>140.54000000000002</v>
      </c>
    </row>
    <row r="446" spans="1:14" ht="15">
      <c r="A446" s="6" t="s">
        <v>17</v>
      </c>
      <c r="B446" s="6" t="s">
        <v>35</v>
      </c>
      <c r="C446" s="6" t="s">
        <v>910</v>
      </c>
      <c r="D446" s="6" t="s">
        <v>911</v>
      </c>
      <c r="E446" s="7">
        <v>136.80000000000001</v>
      </c>
      <c r="F446" s="7">
        <v>133.19999999999999</v>
      </c>
      <c r="G446" s="7">
        <v>134.75</v>
      </c>
      <c r="H446" s="7">
        <v>130</v>
      </c>
      <c r="I446" s="7">
        <v>133.55000000000001</v>
      </c>
      <c r="J446" s="7">
        <v>927500</v>
      </c>
      <c r="K446" s="7">
        <v>7000</v>
      </c>
      <c r="L446" s="7">
        <v>145</v>
      </c>
      <c r="M446" s="7">
        <v>34</v>
      </c>
      <c r="N446" s="8">
        <f t="shared" si="1"/>
        <v>133.66</v>
      </c>
    </row>
    <row r="447" spans="1:14" ht="15">
      <c r="A447" s="6" t="s">
        <v>17</v>
      </c>
      <c r="B447" s="6" t="s">
        <v>18</v>
      </c>
      <c r="C447" s="6" t="s">
        <v>912</v>
      </c>
      <c r="D447" s="6" t="s">
        <v>913</v>
      </c>
      <c r="E447" s="7">
        <v>198.8</v>
      </c>
      <c r="F447" s="7">
        <v>195.5</v>
      </c>
      <c r="G447" s="7">
        <v>205</v>
      </c>
      <c r="H447" s="7">
        <v>189</v>
      </c>
      <c r="I447" s="7">
        <v>203</v>
      </c>
      <c r="J447" s="7">
        <v>5037400</v>
      </c>
      <c r="K447" s="7">
        <v>25500</v>
      </c>
      <c r="L447" s="7">
        <v>279.95</v>
      </c>
      <c r="M447" s="7">
        <v>145</v>
      </c>
      <c r="N447" s="8">
        <f t="shared" si="1"/>
        <v>198.26</v>
      </c>
    </row>
    <row r="448" spans="1:14" ht="15">
      <c r="A448" s="6" t="s">
        <v>17</v>
      </c>
      <c r="B448" s="6" t="s">
        <v>18</v>
      </c>
      <c r="C448" s="6" t="s">
        <v>914</v>
      </c>
      <c r="D448" s="6" t="s">
        <v>915</v>
      </c>
      <c r="E448" s="7">
        <v>40.15</v>
      </c>
      <c r="F448" s="7">
        <v>39.049999999999997</v>
      </c>
      <c r="G448" s="7">
        <v>39.049999999999997</v>
      </c>
      <c r="H448" s="7">
        <v>39.049999999999997</v>
      </c>
      <c r="I448" s="7">
        <v>39.049999999999997</v>
      </c>
      <c r="J448" s="7">
        <v>62480</v>
      </c>
      <c r="K448" s="7">
        <v>1600</v>
      </c>
      <c r="L448" s="7">
        <v>78</v>
      </c>
      <c r="M448" s="7">
        <v>36.1</v>
      </c>
      <c r="N448" s="8">
        <f t="shared" si="1"/>
        <v>39.269999999999996</v>
      </c>
    </row>
    <row r="449" spans="1:14" ht="15">
      <c r="A449" s="6" t="s">
        <v>17</v>
      </c>
      <c r="B449" s="6" t="s">
        <v>35</v>
      </c>
      <c r="C449" s="6" t="s">
        <v>916</v>
      </c>
      <c r="D449" s="6" t="s">
        <v>917</v>
      </c>
      <c r="E449" s="7">
        <v>213</v>
      </c>
      <c r="F449" s="7">
        <v>212</v>
      </c>
      <c r="G449" s="7">
        <v>223.65</v>
      </c>
      <c r="H449" s="7">
        <v>202.35</v>
      </c>
      <c r="I449" s="7">
        <v>223.65</v>
      </c>
      <c r="J449" s="7">
        <v>9905600</v>
      </c>
      <c r="K449" s="7">
        <v>46400</v>
      </c>
      <c r="L449" s="7">
        <v>307.89999999999998</v>
      </c>
      <c r="M449" s="7">
        <v>111.95</v>
      </c>
      <c r="N449" s="8">
        <f t="shared" si="1"/>
        <v>214.93</v>
      </c>
    </row>
    <row r="450" spans="1:14" ht="15">
      <c r="A450" s="6" t="s">
        <v>17</v>
      </c>
      <c r="B450" s="6" t="s">
        <v>18</v>
      </c>
      <c r="C450" s="6" t="s">
        <v>918</v>
      </c>
      <c r="D450" s="6" t="s">
        <v>919</v>
      </c>
      <c r="E450" s="7">
        <v>54.55</v>
      </c>
      <c r="F450" s="7">
        <v>54.55</v>
      </c>
      <c r="G450" s="7">
        <v>54.55</v>
      </c>
      <c r="H450" s="7">
        <v>52</v>
      </c>
      <c r="I450" s="7">
        <v>52.9</v>
      </c>
      <c r="J450" s="7">
        <v>951240</v>
      </c>
      <c r="K450" s="7">
        <v>18000</v>
      </c>
      <c r="L450" s="7">
        <v>77</v>
      </c>
      <c r="M450" s="7">
        <v>48.1</v>
      </c>
      <c r="N450" s="8">
        <f t="shared" si="1"/>
        <v>53.71</v>
      </c>
    </row>
    <row r="451" spans="1:14" ht="15">
      <c r="A451" s="6" t="s">
        <v>17</v>
      </c>
      <c r="B451" s="6" t="s">
        <v>18</v>
      </c>
      <c r="C451" s="6" t="s">
        <v>920</v>
      </c>
      <c r="D451" s="6" t="s">
        <v>921</v>
      </c>
      <c r="E451" s="7">
        <v>601.45000000000005</v>
      </c>
      <c r="F451" s="7">
        <v>601.45000000000005</v>
      </c>
      <c r="G451" s="7">
        <v>658</v>
      </c>
      <c r="H451" s="7">
        <v>601.45000000000005</v>
      </c>
      <c r="I451" s="7">
        <v>640.65</v>
      </c>
      <c r="J451" s="7">
        <v>14422880</v>
      </c>
      <c r="K451" s="7">
        <v>22600</v>
      </c>
      <c r="L451" s="7">
        <v>1860</v>
      </c>
      <c r="M451" s="7">
        <v>565</v>
      </c>
      <c r="N451" s="8">
        <f t="shared" si="1"/>
        <v>620.6</v>
      </c>
    </row>
    <row r="452" spans="1:14" ht="15">
      <c r="A452" s="6" t="s">
        <v>17</v>
      </c>
      <c r="B452" s="6" t="s">
        <v>18</v>
      </c>
      <c r="C452" s="6" t="s">
        <v>922</v>
      </c>
      <c r="D452" s="6" t="s">
        <v>923</v>
      </c>
      <c r="E452" s="7">
        <v>235.9</v>
      </c>
      <c r="F452" s="7">
        <v>246.8</v>
      </c>
      <c r="G452" s="7">
        <v>246.8</v>
      </c>
      <c r="H452" s="7">
        <v>236.1</v>
      </c>
      <c r="I452" s="7">
        <v>239</v>
      </c>
      <c r="J452" s="7">
        <v>1918600</v>
      </c>
      <c r="K452" s="7">
        <v>8000</v>
      </c>
      <c r="L452" s="7">
        <v>255</v>
      </c>
      <c r="M452" s="7">
        <v>77.400000000000006</v>
      </c>
      <c r="N452" s="8">
        <f t="shared" si="1"/>
        <v>240.92000000000002</v>
      </c>
    </row>
    <row r="453" spans="1:14" ht="15">
      <c r="A453" s="6" t="s">
        <v>17</v>
      </c>
      <c r="B453" s="6" t="s">
        <v>18</v>
      </c>
      <c r="C453" s="6" t="s">
        <v>924</v>
      </c>
      <c r="D453" s="6" t="s">
        <v>925</v>
      </c>
      <c r="E453" s="7">
        <v>47.85</v>
      </c>
      <c r="F453" s="7">
        <v>45.5</v>
      </c>
      <c r="G453" s="7">
        <v>45.5</v>
      </c>
      <c r="H453" s="7">
        <v>45.5</v>
      </c>
      <c r="I453" s="7">
        <v>45.5</v>
      </c>
      <c r="J453" s="7">
        <v>91000</v>
      </c>
      <c r="K453" s="7">
        <v>2000</v>
      </c>
      <c r="L453" s="7">
        <v>53.3</v>
      </c>
      <c r="M453" s="7">
        <v>37.700000000000003</v>
      </c>
      <c r="N453" s="8">
        <f t="shared" si="1"/>
        <v>45.97</v>
      </c>
    </row>
    <row r="454" spans="1:14" ht="15">
      <c r="A454" s="6" t="s">
        <v>17</v>
      </c>
      <c r="B454" s="6" t="s">
        <v>18</v>
      </c>
      <c r="C454" s="6" t="s">
        <v>926</v>
      </c>
      <c r="D454" s="6" t="s">
        <v>927</v>
      </c>
      <c r="E454" s="7">
        <v>135.05000000000001</v>
      </c>
      <c r="F454" s="7">
        <v>134.30000000000001</v>
      </c>
      <c r="G454" s="7">
        <v>134.65</v>
      </c>
      <c r="H454" s="7">
        <v>133.25</v>
      </c>
      <c r="I454" s="7">
        <v>134.5</v>
      </c>
      <c r="J454" s="7">
        <v>535540</v>
      </c>
      <c r="K454" s="7">
        <v>4000</v>
      </c>
      <c r="L454" s="7">
        <v>272</v>
      </c>
      <c r="M454" s="7">
        <v>127.6</v>
      </c>
      <c r="N454" s="8">
        <f t="shared" si="1"/>
        <v>134.35</v>
      </c>
    </row>
    <row r="455" spans="1:14" ht="15">
      <c r="A455" s="6" t="s">
        <v>17</v>
      </c>
      <c r="B455" s="6" t="s">
        <v>18</v>
      </c>
      <c r="C455" s="6" t="s">
        <v>928</v>
      </c>
      <c r="D455" s="6" t="s">
        <v>929</v>
      </c>
      <c r="E455" s="7">
        <v>116.9</v>
      </c>
      <c r="F455" s="7">
        <v>116.9</v>
      </c>
      <c r="G455" s="7">
        <v>124.5</v>
      </c>
      <c r="H455" s="7">
        <v>115</v>
      </c>
      <c r="I455" s="7">
        <v>124.5</v>
      </c>
      <c r="J455" s="7">
        <v>718975</v>
      </c>
      <c r="K455" s="7">
        <v>6000</v>
      </c>
      <c r="L455" s="7">
        <v>204</v>
      </c>
      <c r="M455" s="7">
        <v>113</v>
      </c>
      <c r="N455" s="8">
        <f t="shared" si="1"/>
        <v>119.55999999999999</v>
      </c>
    </row>
    <row r="456" spans="1:14" ht="15">
      <c r="A456" s="6" t="s">
        <v>17</v>
      </c>
      <c r="B456" s="6" t="s">
        <v>35</v>
      </c>
      <c r="C456" s="6" t="s">
        <v>930</v>
      </c>
      <c r="D456" s="6" t="s">
        <v>931</v>
      </c>
      <c r="E456" s="7">
        <v>114.95</v>
      </c>
      <c r="F456" s="7">
        <v>116.95</v>
      </c>
      <c r="G456" s="7">
        <v>120.65</v>
      </c>
      <c r="H456" s="7">
        <v>113</v>
      </c>
      <c r="I456" s="7">
        <v>113</v>
      </c>
      <c r="J456" s="7">
        <v>1166250</v>
      </c>
      <c r="K456" s="7">
        <v>10000</v>
      </c>
      <c r="L456" s="7">
        <v>209.95</v>
      </c>
      <c r="M456" s="7">
        <v>97</v>
      </c>
      <c r="N456" s="8">
        <f t="shared" si="1"/>
        <v>115.71000000000001</v>
      </c>
    </row>
    <row r="457" spans="1:14" ht="15">
      <c r="A457" s="6" t="s">
        <v>17</v>
      </c>
      <c r="B457" s="6" t="s">
        <v>18</v>
      </c>
      <c r="C457" s="6" t="s">
        <v>932</v>
      </c>
      <c r="D457" s="6" t="s">
        <v>933</v>
      </c>
      <c r="E457" s="7">
        <v>225.9</v>
      </c>
      <c r="F457" s="7">
        <v>225.9</v>
      </c>
      <c r="G457" s="7">
        <v>227.95</v>
      </c>
      <c r="H457" s="7">
        <v>210.3</v>
      </c>
      <c r="I457" s="7">
        <v>212.25</v>
      </c>
      <c r="J457" s="7">
        <v>3994300</v>
      </c>
      <c r="K457" s="7">
        <v>18400</v>
      </c>
      <c r="L457" s="7">
        <v>380.1</v>
      </c>
      <c r="M457" s="7">
        <v>210.3</v>
      </c>
      <c r="N457" s="8">
        <f t="shared" si="1"/>
        <v>220.46000000000004</v>
      </c>
    </row>
    <row r="458" spans="1:14" ht="15">
      <c r="A458" s="6" t="s">
        <v>17</v>
      </c>
      <c r="B458" s="6" t="s">
        <v>18</v>
      </c>
      <c r="C458" s="6" t="s">
        <v>934</v>
      </c>
      <c r="D458" s="6" t="s">
        <v>935</v>
      </c>
      <c r="E458" s="7">
        <v>117.4</v>
      </c>
      <c r="F458" s="7">
        <v>115</v>
      </c>
      <c r="G458" s="7">
        <v>119.5</v>
      </c>
      <c r="H458" s="7">
        <v>115</v>
      </c>
      <c r="I458" s="7">
        <v>118</v>
      </c>
      <c r="J458" s="7">
        <v>940400</v>
      </c>
      <c r="K458" s="7">
        <v>8000</v>
      </c>
      <c r="L458" s="7">
        <v>153.5</v>
      </c>
      <c r="M458" s="7">
        <v>72.599999999999994</v>
      </c>
      <c r="N458" s="8">
        <f t="shared" si="1"/>
        <v>116.97999999999999</v>
      </c>
    </row>
    <row r="459" spans="1:14" ht="15">
      <c r="A459" s="6" t="s">
        <v>17</v>
      </c>
      <c r="B459" s="6" t="s">
        <v>18</v>
      </c>
      <c r="C459" s="6" t="s">
        <v>936</v>
      </c>
      <c r="D459" s="6" t="s">
        <v>937</v>
      </c>
      <c r="E459" s="7">
        <v>578.4</v>
      </c>
      <c r="F459" s="7">
        <v>561</v>
      </c>
      <c r="G459" s="7">
        <v>586.85</v>
      </c>
      <c r="H459" s="7">
        <v>557.5</v>
      </c>
      <c r="I459" s="7">
        <v>560.5</v>
      </c>
      <c r="J459" s="7">
        <v>7018485</v>
      </c>
      <c r="K459" s="7">
        <v>12300</v>
      </c>
      <c r="L459" s="7">
        <v>701</v>
      </c>
      <c r="M459" s="7">
        <v>460</v>
      </c>
      <c r="N459" s="8">
        <f t="shared" si="1"/>
        <v>568.85</v>
      </c>
    </row>
    <row r="460" spans="1:14" ht="15">
      <c r="A460" s="6" t="s">
        <v>17</v>
      </c>
      <c r="B460" s="6" t="s">
        <v>18</v>
      </c>
      <c r="C460" s="6" t="s">
        <v>938</v>
      </c>
      <c r="D460" s="6" t="s">
        <v>939</v>
      </c>
      <c r="E460" s="7">
        <v>76.25</v>
      </c>
      <c r="F460" s="7">
        <v>75.099999999999994</v>
      </c>
      <c r="G460" s="7">
        <v>75.099999999999994</v>
      </c>
      <c r="H460" s="7">
        <v>72</v>
      </c>
      <c r="I460" s="7">
        <v>72.650000000000006</v>
      </c>
      <c r="J460" s="7">
        <v>440220</v>
      </c>
      <c r="K460" s="7">
        <v>6000</v>
      </c>
      <c r="L460" s="7">
        <v>165.8</v>
      </c>
      <c r="M460" s="7">
        <v>72</v>
      </c>
      <c r="N460" s="8">
        <f t="shared" si="1"/>
        <v>74.22</v>
      </c>
    </row>
    <row r="461" spans="1:14" ht="15">
      <c r="A461" s="6" t="s">
        <v>17</v>
      </c>
      <c r="B461" s="6" t="s">
        <v>18</v>
      </c>
      <c r="C461" s="6" t="s">
        <v>940</v>
      </c>
      <c r="D461" s="6" t="s">
        <v>941</v>
      </c>
      <c r="E461" s="7">
        <v>46.75</v>
      </c>
      <c r="F461" s="7">
        <v>46.75</v>
      </c>
      <c r="G461" s="7">
        <v>47</v>
      </c>
      <c r="H461" s="7">
        <v>46</v>
      </c>
      <c r="I461" s="7">
        <v>47</v>
      </c>
      <c r="J461" s="7">
        <v>782840</v>
      </c>
      <c r="K461" s="7">
        <v>16800</v>
      </c>
      <c r="L461" s="7">
        <v>107</v>
      </c>
      <c r="M461" s="7">
        <v>45</v>
      </c>
      <c r="N461" s="8">
        <f t="shared" si="1"/>
        <v>46.7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443"/>
  <sheetViews>
    <sheetView workbookViewId="0"/>
  </sheetViews>
  <sheetFormatPr defaultColWidth="12.5703125" defaultRowHeight="15.75" customHeight="1"/>
  <sheetData>
    <row r="1" spans="1:25">
      <c r="A1" s="3" t="s">
        <v>3</v>
      </c>
      <c r="B1" s="3" t="s">
        <v>4</v>
      </c>
      <c r="C1" s="3" t="s">
        <v>5</v>
      </c>
      <c r="D1" s="3" t="s">
        <v>6</v>
      </c>
      <c r="E1" s="3" t="s">
        <v>7</v>
      </c>
      <c r="F1" s="3" t="s">
        <v>8</v>
      </c>
      <c r="G1" s="3" t="s">
        <v>9</v>
      </c>
      <c r="H1" s="3" t="s">
        <v>10</v>
      </c>
      <c r="I1" s="3" t="s">
        <v>11</v>
      </c>
      <c r="J1" s="3" t="s">
        <v>12</v>
      </c>
      <c r="K1" s="3" t="s">
        <v>13</v>
      </c>
      <c r="L1" s="3" t="s">
        <v>14</v>
      </c>
      <c r="M1" s="3" t="s">
        <v>15</v>
      </c>
      <c r="N1" s="3" t="s">
        <v>16</v>
      </c>
      <c r="O1" s="3" t="s">
        <v>942</v>
      </c>
      <c r="P1" s="4" t="s">
        <v>16</v>
      </c>
      <c r="Q1" s="5"/>
      <c r="R1" s="5"/>
      <c r="S1" s="5"/>
      <c r="T1" s="5"/>
      <c r="U1" s="5"/>
      <c r="V1" s="5"/>
      <c r="W1" s="5"/>
      <c r="X1" s="5"/>
      <c r="Y1" s="5"/>
    </row>
    <row r="2" spans="1:25" ht="15.75" customHeight="1">
      <c r="A2" s="6" t="s">
        <v>17</v>
      </c>
      <c r="B2" s="6" t="s">
        <v>18</v>
      </c>
      <c r="C2" s="6" t="s">
        <v>172</v>
      </c>
      <c r="D2" s="6" t="s">
        <v>173</v>
      </c>
      <c r="E2" s="7">
        <v>141.69999999999999</v>
      </c>
      <c r="F2" s="7">
        <v>143</v>
      </c>
      <c r="G2" s="7">
        <v>163</v>
      </c>
      <c r="H2" s="7">
        <v>139.94999999999999</v>
      </c>
      <c r="I2" s="7">
        <v>154.80000000000001</v>
      </c>
      <c r="J2" s="9">
        <v>130000000</v>
      </c>
      <c r="K2" s="7">
        <v>854000</v>
      </c>
      <c r="L2" s="7">
        <v>163</v>
      </c>
      <c r="M2" s="7">
        <v>96.75</v>
      </c>
      <c r="N2" s="7">
        <v>148.49</v>
      </c>
      <c r="O2" s="10">
        <v>9.2399999999999996E-2</v>
      </c>
      <c r="P2" s="8">
        <f t="shared" ref="P2:P443" si="0">AVERAGE(E2,F2,G2,H2,I2)</f>
        <v>148.49</v>
      </c>
    </row>
    <row r="3" spans="1:25" ht="15.75" customHeight="1">
      <c r="A3" s="6" t="s">
        <v>17</v>
      </c>
      <c r="B3" s="6" t="s">
        <v>18</v>
      </c>
      <c r="C3" s="6" t="s">
        <v>702</v>
      </c>
      <c r="D3" s="6" t="s">
        <v>703</v>
      </c>
      <c r="E3" s="7">
        <v>206.25</v>
      </c>
      <c r="F3" s="7">
        <v>208</v>
      </c>
      <c r="G3" s="7">
        <v>212</v>
      </c>
      <c r="H3" s="7">
        <v>195</v>
      </c>
      <c r="I3" s="7">
        <v>199.6</v>
      </c>
      <c r="J3" s="7">
        <v>97987400</v>
      </c>
      <c r="K3" s="7">
        <v>480500</v>
      </c>
      <c r="L3" s="7">
        <v>302.95</v>
      </c>
      <c r="M3" s="7">
        <v>162</v>
      </c>
      <c r="N3" s="7">
        <v>204.17</v>
      </c>
      <c r="O3" s="10">
        <v>-3.2199999999999999E-2</v>
      </c>
      <c r="P3" s="8">
        <f t="shared" si="0"/>
        <v>204.17000000000002</v>
      </c>
    </row>
    <row r="4" spans="1:25" ht="15.75" customHeight="1">
      <c r="A4" s="6" t="s">
        <v>17</v>
      </c>
      <c r="B4" s="6" t="s">
        <v>18</v>
      </c>
      <c r="C4" s="6" t="s">
        <v>545</v>
      </c>
      <c r="D4" s="6" t="s">
        <v>546</v>
      </c>
      <c r="E4" s="7">
        <v>1581.75</v>
      </c>
      <c r="F4" s="7">
        <v>1550.05</v>
      </c>
      <c r="G4" s="7">
        <v>1598.9</v>
      </c>
      <c r="H4" s="7">
        <v>1500</v>
      </c>
      <c r="I4" s="7">
        <v>1561.85</v>
      </c>
      <c r="J4" s="7">
        <v>80955349</v>
      </c>
      <c r="K4" s="7">
        <v>51750</v>
      </c>
      <c r="L4" s="7">
        <v>3064</v>
      </c>
      <c r="M4" s="7">
        <v>1000</v>
      </c>
      <c r="N4" s="7">
        <v>1558.51</v>
      </c>
      <c r="O4" s="10">
        <v>-1.26E-2</v>
      </c>
      <c r="P4" s="8">
        <f t="shared" si="0"/>
        <v>1558.5100000000002</v>
      </c>
    </row>
    <row r="5" spans="1:25" ht="15.75" customHeight="1">
      <c r="A5" s="6" t="s">
        <v>17</v>
      </c>
      <c r="B5" s="6" t="s">
        <v>18</v>
      </c>
      <c r="C5" s="6" t="s">
        <v>178</v>
      </c>
      <c r="D5" s="6" t="s">
        <v>179</v>
      </c>
      <c r="E5" s="7">
        <v>52.35</v>
      </c>
      <c r="F5" s="7">
        <v>50.55</v>
      </c>
      <c r="G5" s="7">
        <v>53.3</v>
      </c>
      <c r="H5" s="7">
        <v>41.9</v>
      </c>
      <c r="I5" s="7">
        <v>41.9</v>
      </c>
      <c r="J5" s="7">
        <v>70767938</v>
      </c>
      <c r="K5" s="7">
        <v>1635000</v>
      </c>
      <c r="L5" s="7">
        <v>931</v>
      </c>
      <c r="M5" s="7">
        <v>41.9</v>
      </c>
      <c r="N5" s="7">
        <v>48</v>
      </c>
      <c r="O5" s="10">
        <v>-0.1996</v>
      </c>
      <c r="P5" s="8">
        <f t="shared" si="0"/>
        <v>48</v>
      </c>
    </row>
    <row r="6" spans="1:25" ht="15.75" customHeight="1">
      <c r="A6" s="6" t="s">
        <v>17</v>
      </c>
      <c r="B6" s="6" t="s">
        <v>35</v>
      </c>
      <c r="C6" s="6" t="s">
        <v>429</v>
      </c>
      <c r="D6" s="6" t="s">
        <v>430</v>
      </c>
      <c r="E6" s="7">
        <v>180.7</v>
      </c>
      <c r="F6" s="7">
        <v>172.1</v>
      </c>
      <c r="G6" s="7">
        <v>184</v>
      </c>
      <c r="H6" s="7">
        <v>172.1</v>
      </c>
      <c r="I6" s="7">
        <v>177.8</v>
      </c>
      <c r="J6" s="7">
        <v>70223400</v>
      </c>
      <c r="K6" s="7">
        <v>393000</v>
      </c>
      <c r="L6" s="7">
        <v>184</v>
      </c>
      <c r="M6" s="7">
        <v>165.15</v>
      </c>
      <c r="N6" s="7">
        <v>177.34</v>
      </c>
      <c r="O6" s="10">
        <v>-1.6E-2</v>
      </c>
      <c r="P6" s="8">
        <f t="shared" si="0"/>
        <v>177.34</v>
      </c>
    </row>
    <row r="7" spans="1:25" ht="15.75" customHeight="1">
      <c r="A7" s="6" t="s">
        <v>17</v>
      </c>
      <c r="B7" s="6" t="s">
        <v>18</v>
      </c>
      <c r="C7" s="6" t="s">
        <v>74</v>
      </c>
      <c r="D7" s="6" t="s">
        <v>75</v>
      </c>
      <c r="E7" s="7">
        <v>198.5</v>
      </c>
      <c r="F7" s="7">
        <v>196</v>
      </c>
      <c r="G7" s="7">
        <v>198</v>
      </c>
      <c r="H7" s="7">
        <v>196</v>
      </c>
      <c r="I7" s="7">
        <v>197.15</v>
      </c>
      <c r="J7" s="7">
        <v>61652600</v>
      </c>
      <c r="K7" s="7">
        <v>312750</v>
      </c>
      <c r="L7" s="7">
        <v>371</v>
      </c>
      <c r="M7" s="7">
        <v>180</v>
      </c>
      <c r="N7" s="7">
        <v>197.13</v>
      </c>
      <c r="O7" s="10">
        <v>-6.7999999999999996E-3</v>
      </c>
      <c r="P7" s="8">
        <f t="shared" si="0"/>
        <v>197.13</v>
      </c>
    </row>
    <row r="8" spans="1:25" ht="15.75" customHeight="1">
      <c r="A8" s="6" t="s">
        <v>17</v>
      </c>
      <c r="B8" s="6" t="s">
        <v>18</v>
      </c>
      <c r="C8" s="6" t="s">
        <v>714</v>
      </c>
      <c r="D8" s="6" t="s">
        <v>715</v>
      </c>
      <c r="E8" s="7">
        <v>317.2</v>
      </c>
      <c r="F8" s="7">
        <v>317.89999999999998</v>
      </c>
      <c r="G8" s="7">
        <v>318</v>
      </c>
      <c r="H8" s="7">
        <v>313</v>
      </c>
      <c r="I8" s="7">
        <v>313.5</v>
      </c>
      <c r="J8" s="7">
        <v>42417960</v>
      </c>
      <c r="K8" s="7">
        <v>134400</v>
      </c>
      <c r="L8" s="7">
        <v>326.10000000000002</v>
      </c>
      <c r="M8" s="7">
        <v>208</v>
      </c>
      <c r="N8" s="7">
        <v>315.92</v>
      </c>
      <c r="O8" s="10">
        <v>-1.17E-2</v>
      </c>
      <c r="P8" s="8">
        <f t="shared" si="0"/>
        <v>315.91999999999996</v>
      </c>
    </row>
    <row r="9" spans="1:25" ht="15.75" customHeight="1">
      <c r="A9" s="6" t="s">
        <v>17</v>
      </c>
      <c r="B9" s="6" t="s">
        <v>18</v>
      </c>
      <c r="C9" s="6" t="s">
        <v>922</v>
      </c>
      <c r="D9" s="6" t="s">
        <v>923</v>
      </c>
      <c r="E9" s="7">
        <v>239</v>
      </c>
      <c r="F9" s="7">
        <v>228</v>
      </c>
      <c r="G9" s="7">
        <v>248.6</v>
      </c>
      <c r="H9" s="7">
        <v>227.05</v>
      </c>
      <c r="I9" s="7">
        <v>240.5</v>
      </c>
      <c r="J9" s="7">
        <v>39890960</v>
      </c>
      <c r="K9" s="7">
        <v>168800</v>
      </c>
      <c r="L9" s="7">
        <v>255</v>
      </c>
      <c r="M9" s="7">
        <v>77.400000000000006</v>
      </c>
      <c r="N9" s="7">
        <v>236.63</v>
      </c>
      <c r="O9" s="10">
        <v>6.3E-3</v>
      </c>
      <c r="P9" s="8">
        <f t="shared" si="0"/>
        <v>236.63000000000002</v>
      </c>
    </row>
    <row r="10" spans="1:25" ht="15.75" customHeight="1">
      <c r="A10" s="6" t="s">
        <v>17</v>
      </c>
      <c r="B10" s="6" t="s">
        <v>18</v>
      </c>
      <c r="C10" s="6" t="s">
        <v>62</v>
      </c>
      <c r="D10" s="6" t="s">
        <v>63</v>
      </c>
      <c r="E10" s="7">
        <v>765.7</v>
      </c>
      <c r="F10" s="7">
        <v>769.45</v>
      </c>
      <c r="G10" s="7">
        <v>769.45</v>
      </c>
      <c r="H10" s="7">
        <v>742</v>
      </c>
      <c r="I10" s="7">
        <v>753.35</v>
      </c>
      <c r="J10" s="7">
        <v>35892950</v>
      </c>
      <c r="K10" s="7">
        <v>47600</v>
      </c>
      <c r="L10" s="7">
        <v>1449.7</v>
      </c>
      <c r="M10" s="7">
        <v>495</v>
      </c>
      <c r="N10" s="7">
        <v>759.99</v>
      </c>
      <c r="O10" s="10">
        <v>-1.61E-2</v>
      </c>
      <c r="P10" s="8">
        <f t="shared" si="0"/>
        <v>759.99</v>
      </c>
    </row>
    <row r="11" spans="1:25" ht="15.75" customHeight="1">
      <c r="A11" s="6" t="s">
        <v>17</v>
      </c>
      <c r="B11" s="6" t="s">
        <v>18</v>
      </c>
      <c r="C11" s="6" t="s">
        <v>694</v>
      </c>
      <c r="D11" s="6" t="s">
        <v>695</v>
      </c>
      <c r="E11" s="7">
        <v>248.4</v>
      </c>
      <c r="F11" s="7">
        <v>246</v>
      </c>
      <c r="G11" s="7">
        <v>257</v>
      </c>
      <c r="H11" s="7">
        <v>245</v>
      </c>
      <c r="I11" s="7">
        <v>249</v>
      </c>
      <c r="J11" s="7">
        <v>31733360</v>
      </c>
      <c r="K11" s="7">
        <v>125600</v>
      </c>
      <c r="L11" s="7">
        <v>515.54999999999995</v>
      </c>
      <c r="M11" s="7">
        <v>227.5</v>
      </c>
      <c r="N11" s="7">
        <v>249.08</v>
      </c>
      <c r="O11" s="10">
        <v>2.3999999999999998E-3</v>
      </c>
      <c r="P11" s="8">
        <f t="shared" si="0"/>
        <v>249.08</v>
      </c>
    </row>
    <row r="12" spans="1:25" ht="15.75" customHeight="1">
      <c r="A12" s="6" t="s">
        <v>17</v>
      </c>
      <c r="B12" s="6" t="s">
        <v>18</v>
      </c>
      <c r="C12" s="6" t="s">
        <v>836</v>
      </c>
      <c r="D12" s="6" t="s">
        <v>837</v>
      </c>
      <c r="E12" s="7">
        <v>216.6</v>
      </c>
      <c r="F12" s="7">
        <v>227.4</v>
      </c>
      <c r="G12" s="7">
        <v>227.4</v>
      </c>
      <c r="H12" s="7">
        <v>218</v>
      </c>
      <c r="I12" s="7">
        <v>227.4</v>
      </c>
      <c r="J12" s="7">
        <v>30428080</v>
      </c>
      <c r="K12" s="7">
        <v>134400</v>
      </c>
      <c r="L12" s="7">
        <v>325.7</v>
      </c>
      <c r="M12" s="7">
        <v>115.6</v>
      </c>
      <c r="N12" s="7">
        <v>223.36</v>
      </c>
      <c r="O12" s="10">
        <v>4.99E-2</v>
      </c>
      <c r="P12" s="8">
        <f t="shared" si="0"/>
        <v>223.35999999999999</v>
      </c>
    </row>
    <row r="13" spans="1:25" ht="15.75" customHeight="1">
      <c r="A13" s="6" t="s">
        <v>17</v>
      </c>
      <c r="B13" s="6" t="s">
        <v>35</v>
      </c>
      <c r="C13" s="6" t="s">
        <v>816</v>
      </c>
      <c r="D13" s="6" t="s">
        <v>817</v>
      </c>
      <c r="E13" s="7">
        <v>267.8</v>
      </c>
      <c r="F13" s="7">
        <v>272</v>
      </c>
      <c r="G13" s="7">
        <v>278</v>
      </c>
      <c r="H13" s="7">
        <v>271</v>
      </c>
      <c r="I13" s="7">
        <v>274.85000000000002</v>
      </c>
      <c r="J13" s="7">
        <v>27876625</v>
      </c>
      <c r="K13" s="7">
        <v>101500</v>
      </c>
      <c r="L13" s="7">
        <v>287.45</v>
      </c>
      <c r="M13" s="7">
        <v>138.5</v>
      </c>
      <c r="N13" s="7">
        <v>272.73</v>
      </c>
      <c r="O13" s="10">
        <v>2.63E-2</v>
      </c>
      <c r="P13" s="8">
        <f t="shared" si="0"/>
        <v>272.73</v>
      </c>
    </row>
    <row r="14" spans="1:25" ht="15.75" customHeight="1">
      <c r="A14" s="6" t="s">
        <v>17</v>
      </c>
      <c r="B14" s="6" t="s">
        <v>18</v>
      </c>
      <c r="C14" s="6" t="s">
        <v>824</v>
      </c>
      <c r="D14" s="6" t="s">
        <v>825</v>
      </c>
      <c r="E14" s="7">
        <v>623</v>
      </c>
      <c r="F14" s="7">
        <v>615</v>
      </c>
      <c r="G14" s="7">
        <v>624</v>
      </c>
      <c r="H14" s="7">
        <v>606.95000000000005</v>
      </c>
      <c r="I14" s="7">
        <v>616.20000000000005</v>
      </c>
      <c r="J14" s="7">
        <v>25935200</v>
      </c>
      <c r="K14" s="7">
        <v>42200</v>
      </c>
      <c r="L14" s="7">
        <v>1605.35</v>
      </c>
      <c r="M14" s="7">
        <v>590</v>
      </c>
      <c r="N14" s="7">
        <v>617.03</v>
      </c>
      <c r="O14" s="10">
        <v>-1.09E-2</v>
      </c>
      <c r="P14" s="8">
        <f t="shared" si="0"/>
        <v>617.03</v>
      </c>
    </row>
    <row r="15" spans="1:25" ht="15.75" customHeight="1">
      <c r="A15" s="6" t="s">
        <v>17</v>
      </c>
      <c r="B15" s="6" t="s">
        <v>18</v>
      </c>
      <c r="C15" s="6" t="s">
        <v>688</v>
      </c>
      <c r="D15" s="6" t="s">
        <v>689</v>
      </c>
      <c r="E15" s="7">
        <v>230.5</v>
      </c>
      <c r="F15" s="7">
        <v>231</v>
      </c>
      <c r="G15" s="7">
        <v>242</v>
      </c>
      <c r="H15" s="7">
        <v>224.95</v>
      </c>
      <c r="I15" s="7">
        <v>225.3</v>
      </c>
      <c r="J15" s="7">
        <v>25792800</v>
      </c>
      <c r="K15" s="7">
        <v>110500</v>
      </c>
      <c r="L15" s="7">
        <v>319</v>
      </c>
      <c r="M15" s="7">
        <v>151</v>
      </c>
      <c r="N15" s="7">
        <v>230.75</v>
      </c>
      <c r="O15" s="10">
        <v>-2.2599999999999999E-2</v>
      </c>
      <c r="P15" s="8">
        <f t="shared" si="0"/>
        <v>230.75</v>
      </c>
    </row>
    <row r="16" spans="1:25" ht="15.75" customHeight="1">
      <c r="A16" s="6" t="s">
        <v>17</v>
      </c>
      <c r="B16" s="6" t="s">
        <v>18</v>
      </c>
      <c r="C16" s="6" t="s">
        <v>511</v>
      </c>
      <c r="D16" s="6" t="s">
        <v>512</v>
      </c>
      <c r="E16" s="7">
        <v>171.05</v>
      </c>
      <c r="F16" s="7">
        <v>171.05</v>
      </c>
      <c r="G16" s="7">
        <v>174.75</v>
      </c>
      <c r="H16" s="7">
        <v>169.95</v>
      </c>
      <c r="I16" s="7">
        <v>171.45</v>
      </c>
      <c r="J16" s="7">
        <v>24496080</v>
      </c>
      <c r="K16" s="7">
        <v>142400</v>
      </c>
      <c r="L16" s="7">
        <v>229.9</v>
      </c>
      <c r="M16" s="7">
        <v>127</v>
      </c>
      <c r="N16" s="7">
        <v>171.65</v>
      </c>
      <c r="O16" s="10">
        <v>2.3E-3</v>
      </c>
      <c r="P16" s="8">
        <f t="shared" si="0"/>
        <v>171.65</v>
      </c>
    </row>
    <row r="17" spans="1:16" ht="15.75" customHeight="1">
      <c r="A17" s="6" t="s">
        <v>17</v>
      </c>
      <c r="B17" s="6" t="s">
        <v>18</v>
      </c>
      <c r="C17" s="6" t="s">
        <v>98</v>
      </c>
      <c r="D17" s="6" t="s">
        <v>99</v>
      </c>
      <c r="E17" s="7">
        <v>132.15</v>
      </c>
      <c r="F17" s="7">
        <v>142</v>
      </c>
      <c r="G17" s="7">
        <v>158.55000000000001</v>
      </c>
      <c r="H17" s="7">
        <v>132</v>
      </c>
      <c r="I17" s="7">
        <v>133.1</v>
      </c>
      <c r="J17" s="7">
        <v>24414500</v>
      </c>
      <c r="K17" s="7">
        <v>162000</v>
      </c>
      <c r="L17" s="7">
        <v>167.8</v>
      </c>
      <c r="M17" s="7">
        <v>127.9</v>
      </c>
      <c r="N17" s="7">
        <v>139.56</v>
      </c>
      <c r="O17" s="10">
        <v>7.1999999999999998E-3</v>
      </c>
      <c r="P17" s="8">
        <f t="shared" si="0"/>
        <v>139.56</v>
      </c>
    </row>
    <row r="18" spans="1:16" ht="15.75" customHeight="1">
      <c r="A18" s="6" t="s">
        <v>17</v>
      </c>
      <c r="B18" s="6" t="s">
        <v>18</v>
      </c>
      <c r="C18" s="6" t="s">
        <v>834</v>
      </c>
      <c r="D18" s="6" t="s">
        <v>835</v>
      </c>
      <c r="E18" s="7">
        <v>516.85</v>
      </c>
      <c r="F18" s="7">
        <v>492.05</v>
      </c>
      <c r="G18" s="7">
        <v>509</v>
      </c>
      <c r="H18" s="7">
        <v>489.55</v>
      </c>
      <c r="I18" s="7">
        <v>495.35</v>
      </c>
      <c r="J18" s="7">
        <v>24351150</v>
      </c>
      <c r="K18" s="7">
        <v>49200</v>
      </c>
      <c r="L18" s="7">
        <v>843.6</v>
      </c>
      <c r="M18" s="7">
        <v>366.7</v>
      </c>
      <c r="N18" s="7">
        <v>500.56</v>
      </c>
      <c r="O18" s="10">
        <v>-4.1599999999999998E-2</v>
      </c>
      <c r="P18" s="8">
        <f t="shared" si="0"/>
        <v>500.56000000000006</v>
      </c>
    </row>
    <row r="19" spans="1:16" ht="15.75" customHeight="1">
      <c r="A19" s="6" t="s">
        <v>17</v>
      </c>
      <c r="B19" s="6" t="s">
        <v>18</v>
      </c>
      <c r="C19" s="6" t="s">
        <v>497</v>
      </c>
      <c r="D19" s="6" t="s">
        <v>498</v>
      </c>
      <c r="E19" s="7">
        <v>21.25</v>
      </c>
      <c r="F19" s="7">
        <v>21.1</v>
      </c>
      <c r="G19" s="7">
        <v>21.8</v>
      </c>
      <c r="H19" s="7">
        <v>20.65</v>
      </c>
      <c r="I19" s="7">
        <v>20.85</v>
      </c>
      <c r="J19" s="7">
        <v>23373600</v>
      </c>
      <c r="K19" s="7">
        <v>1092000</v>
      </c>
      <c r="L19" s="7">
        <v>301</v>
      </c>
      <c r="M19" s="7">
        <v>20.65</v>
      </c>
      <c r="N19" s="7">
        <v>21.13</v>
      </c>
      <c r="O19" s="10">
        <v>-1.8800000000000001E-2</v>
      </c>
      <c r="P19" s="8">
        <f t="shared" si="0"/>
        <v>21.130000000000003</v>
      </c>
    </row>
    <row r="20" spans="1:16" ht="15.75" customHeight="1">
      <c r="A20" s="6" t="s">
        <v>17</v>
      </c>
      <c r="B20" s="6" t="s">
        <v>35</v>
      </c>
      <c r="C20" s="6" t="s">
        <v>804</v>
      </c>
      <c r="D20" s="6" t="s">
        <v>805</v>
      </c>
      <c r="E20" s="7">
        <v>387.55</v>
      </c>
      <c r="F20" s="7">
        <v>399.95</v>
      </c>
      <c r="G20" s="7">
        <v>406.9</v>
      </c>
      <c r="H20" s="7">
        <v>382.5</v>
      </c>
      <c r="I20" s="7">
        <v>391.1</v>
      </c>
      <c r="J20" s="7">
        <v>19740840</v>
      </c>
      <c r="K20" s="7">
        <v>49200</v>
      </c>
      <c r="L20" s="7">
        <v>415.5</v>
      </c>
      <c r="M20" s="7">
        <v>91</v>
      </c>
      <c r="N20" s="7">
        <v>393.6</v>
      </c>
      <c r="O20" s="10">
        <v>9.1999999999999998E-3</v>
      </c>
      <c r="P20" s="8">
        <f t="shared" si="0"/>
        <v>393.6</v>
      </c>
    </row>
    <row r="21" spans="1:16" ht="15.75" customHeight="1">
      <c r="A21" s="6" t="s">
        <v>17</v>
      </c>
      <c r="B21" s="6" t="s">
        <v>35</v>
      </c>
      <c r="C21" s="6" t="s">
        <v>271</v>
      </c>
      <c r="D21" s="6" t="s">
        <v>272</v>
      </c>
      <c r="E21" s="7">
        <v>227.5</v>
      </c>
      <c r="F21" s="7">
        <v>238.85</v>
      </c>
      <c r="G21" s="7">
        <v>238.85</v>
      </c>
      <c r="H21" s="7">
        <v>216.15</v>
      </c>
      <c r="I21" s="7">
        <v>225.05</v>
      </c>
      <c r="J21" s="7">
        <v>18844480</v>
      </c>
      <c r="K21" s="7">
        <v>81600</v>
      </c>
      <c r="L21" s="7">
        <v>281.89999999999998</v>
      </c>
      <c r="M21" s="7">
        <v>104.5</v>
      </c>
      <c r="N21" s="7">
        <v>229.28</v>
      </c>
      <c r="O21" s="10">
        <v>-1.0800000000000001E-2</v>
      </c>
      <c r="P21" s="8">
        <f t="shared" si="0"/>
        <v>229.28000000000003</v>
      </c>
    </row>
    <row r="22" spans="1:16" ht="15.75" customHeight="1">
      <c r="A22" s="6" t="s">
        <v>17</v>
      </c>
      <c r="B22" s="6" t="s">
        <v>35</v>
      </c>
      <c r="C22" s="6" t="s">
        <v>52</v>
      </c>
      <c r="D22" s="6" t="s">
        <v>53</v>
      </c>
      <c r="E22" s="7">
        <v>720.45</v>
      </c>
      <c r="F22" s="7">
        <v>720</v>
      </c>
      <c r="G22" s="7">
        <v>756.45</v>
      </c>
      <c r="H22" s="7">
        <v>720</v>
      </c>
      <c r="I22" s="7">
        <v>756.45</v>
      </c>
      <c r="J22" s="7">
        <v>18669770</v>
      </c>
      <c r="K22" s="7">
        <v>25200</v>
      </c>
      <c r="L22" s="7">
        <v>1040</v>
      </c>
      <c r="M22" s="7">
        <v>358</v>
      </c>
      <c r="N22" s="7">
        <v>734.67</v>
      </c>
      <c r="O22" s="10">
        <v>0.05</v>
      </c>
      <c r="P22" s="8">
        <f t="shared" si="0"/>
        <v>734.67000000000007</v>
      </c>
    </row>
    <row r="23" spans="1:16" ht="15">
      <c r="A23" s="6" t="s">
        <v>17</v>
      </c>
      <c r="B23" s="6" t="s">
        <v>18</v>
      </c>
      <c r="C23" s="6" t="s">
        <v>275</v>
      </c>
      <c r="D23" s="6" t="s">
        <v>276</v>
      </c>
      <c r="E23" s="7">
        <v>185.75</v>
      </c>
      <c r="F23" s="7">
        <v>183.85</v>
      </c>
      <c r="G23" s="7">
        <v>195</v>
      </c>
      <c r="H23" s="7">
        <v>183.85</v>
      </c>
      <c r="I23" s="7">
        <v>193</v>
      </c>
      <c r="J23" s="7">
        <v>16790700</v>
      </c>
      <c r="K23" s="7">
        <v>88500</v>
      </c>
      <c r="L23" s="7">
        <v>220</v>
      </c>
      <c r="M23" s="7">
        <v>108</v>
      </c>
      <c r="N23" s="7">
        <v>188.29</v>
      </c>
      <c r="O23" s="10">
        <v>3.9E-2</v>
      </c>
      <c r="P23" s="8">
        <f t="shared" si="0"/>
        <v>188.29000000000002</v>
      </c>
    </row>
    <row r="24" spans="1:16" ht="15">
      <c r="A24" s="6" t="s">
        <v>17</v>
      </c>
      <c r="B24" s="6" t="s">
        <v>18</v>
      </c>
      <c r="C24" s="6" t="s">
        <v>249</v>
      </c>
      <c r="D24" s="6" t="s">
        <v>250</v>
      </c>
      <c r="E24" s="7">
        <v>214</v>
      </c>
      <c r="F24" s="7">
        <v>214</v>
      </c>
      <c r="G24" s="7">
        <v>214</v>
      </c>
      <c r="H24" s="7">
        <v>206</v>
      </c>
      <c r="I24" s="7">
        <v>208.7</v>
      </c>
      <c r="J24" s="7">
        <v>15703560</v>
      </c>
      <c r="K24" s="7">
        <v>74400</v>
      </c>
      <c r="L24" s="7">
        <v>265</v>
      </c>
      <c r="M24" s="7">
        <v>167.35</v>
      </c>
      <c r="N24" s="7">
        <v>211.34</v>
      </c>
      <c r="O24" s="10">
        <v>-2.4799999999999999E-2</v>
      </c>
      <c r="P24" s="8">
        <f t="shared" si="0"/>
        <v>211.34</v>
      </c>
    </row>
    <row r="25" spans="1:16" ht="15">
      <c r="A25" s="6" t="s">
        <v>17</v>
      </c>
      <c r="B25" s="6" t="s">
        <v>18</v>
      </c>
      <c r="C25" s="6" t="s">
        <v>533</v>
      </c>
      <c r="D25" s="6" t="s">
        <v>534</v>
      </c>
      <c r="E25" s="7">
        <v>310.95</v>
      </c>
      <c r="F25" s="7">
        <v>306.14999999999998</v>
      </c>
      <c r="G25" s="7">
        <v>313</v>
      </c>
      <c r="H25" s="7">
        <v>300.64999999999998</v>
      </c>
      <c r="I25" s="7">
        <v>311.75</v>
      </c>
      <c r="J25" s="7">
        <v>15491040</v>
      </c>
      <c r="K25" s="7">
        <v>50400</v>
      </c>
      <c r="L25" s="7">
        <v>360</v>
      </c>
      <c r="M25" s="7">
        <v>144.9</v>
      </c>
      <c r="N25" s="7">
        <v>308.5</v>
      </c>
      <c r="O25" s="10">
        <v>2.5999999999999999E-3</v>
      </c>
      <c r="P25" s="8">
        <f t="shared" si="0"/>
        <v>308.5</v>
      </c>
    </row>
    <row r="26" spans="1:16" ht="15">
      <c r="A26" s="6" t="s">
        <v>17</v>
      </c>
      <c r="B26" s="6" t="s">
        <v>18</v>
      </c>
      <c r="C26" s="6" t="s">
        <v>281</v>
      </c>
      <c r="D26" s="6" t="s">
        <v>282</v>
      </c>
      <c r="E26" s="7">
        <v>423.2</v>
      </c>
      <c r="F26" s="7">
        <v>423.2</v>
      </c>
      <c r="G26" s="7">
        <v>444.35</v>
      </c>
      <c r="H26" s="7">
        <v>421.2</v>
      </c>
      <c r="I26" s="7">
        <v>443.95</v>
      </c>
      <c r="J26" s="7">
        <v>15250840</v>
      </c>
      <c r="K26" s="7">
        <v>34800</v>
      </c>
      <c r="L26" s="7">
        <v>790</v>
      </c>
      <c r="M26" s="7">
        <v>375.05</v>
      </c>
      <c r="N26" s="7">
        <v>431.18</v>
      </c>
      <c r="O26" s="10">
        <v>4.9000000000000002E-2</v>
      </c>
      <c r="P26" s="8">
        <f t="shared" si="0"/>
        <v>431.18</v>
      </c>
    </row>
    <row r="27" spans="1:16" ht="15">
      <c r="A27" s="6" t="s">
        <v>17</v>
      </c>
      <c r="B27" s="6" t="s">
        <v>18</v>
      </c>
      <c r="C27" s="6" t="s">
        <v>848</v>
      </c>
      <c r="D27" s="6" t="s">
        <v>849</v>
      </c>
      <c r="E27" s="7">
        <v>145.19999999999999</v>
      </c>
      <c r="F27" s="7">
        <v>145</v>
      </c>
      <c r="G27" s="7">
        <v>151.44999999999999</v>
      </c>
      <c r="H27" s="7">
        <v>142.15</v>
      </c>
      <c r="I27" s="7">
        <v>149.44999999999999</v>
      </c>
      <c r="J27" s="7">
        <v>14818150</v>
      </c>
      <c r="K27" s="7">
        <v>100000</v>
      </c>
      <c r="L27" s="7">
        <v>167.95</v>
      </c>
      <c r="M27" s="7">
        <v>85</v>
      </c>
      <c r="N27" s="7">
        <v>146.65</v>
      </c>
      <c r="O27" s="10">
        <v>2.93E-2</v>
      </c>
      <c r="P27" s="8">
        <f t="shared" si="0"/>
        <v>146.65</v>
      </c>
    </row>
    <row r="28" spans="1:16" ht="15">
      <c r="A28" s="6" t="s">
        <v>17</v>
      </c>
      <c r="B28" s="6" t="s">
        <v>18</v>
      </c>
      <c r="C28" s="6" t="s">
        <v>148</v>
      </c>
      <c r="D28" s="6" t="s">
        <v>149</v>
      </c>
      <c r="E28" s="7">
        <v>381.9</v>
      </c>
      <c r="F28" s="7">
        <v>381.5</v>
      </c>
      <c r="G28" s="7">
        <v>393</v>
      </c>
      <c r="H28" s="7">
        <v>381</v>
      </c>
      <c r="I28" s="7">
        <v>386.45</v>
      </c>
      <c r="J28" s="7">
        <v>14760825</v>
      </c>
      <c r="K28" s="7">
        <v>38250</v>
      </c>
      <c r="L28" s="7">
        <v>888</v>
      </c>
      <c r="M28" s="7">
        <v>250.15</v>
      </c>
      <c r="N28" s="7">
        <v>384.77</v>
      </c>
      <c r="O28" s="10">
        <v>1.1900000000000001E-2</v>
      </c>
      <c r="P28" s="8">
        <f t="shared" si="0"/>
        <v>384.77000000000004</v>
      </c>
    </row>
    <row r="29" spans="1:16" ht="15">
      <c r="A29" s="6" t="s">
        <v>17</v>
      </c>
      <c r="B29" s="6" t="s">
        <v>18</v>
      </c>
      <c r="C29" s="6" t="s">
        <v>594</v>
      </c>
      <c r="D29" s="6" t="s">
        <v>595</v>
      </c>
      <c r="E29" s="7">
        <v>355</v>
      </c>
      <c r="F29" s="7">
        <v>354.5</v>
      </c>
      <c r="G29" s="7">
        <v>354.5</v>
      </c>
      <c r="H29" s="7">
        <v>348</v>
      </c>
      <c r="I29" s="7">
        <v>350.85</v>
      </c>
      <c r="J29" s="7">
        <v>14371650</v>
      </c>
      <c r="K29" s="7">
        <v>41000</v>
      </c>
      <c r="L29" s="7">
        <v>367</v>
      </c>
      <c r="M29" s="7">
        <v>101.05</v>
      </c>
      <c r="N29" s="7">
        <v>352.57</v>
      </c>
      <c r="O29" s="10">
        <v>-1.17E-2</v>
      </c>
      <c r="P29" s="8">
        <f t="shared" si="0"/>
        <v>352.57</v>
      </c>
    </row>
    <row r="30" spans="1:16" ht="15">
      <c r="A30" s="6" t="s">
        <v>17</v>
      </c>
      <c r="B30" s="6" t="s">
        <v>35</v>
      </c>
      <c r="C30" s="6" t="s">
        <v>477</v>
      </c>
      <c r="D30" s="6" t="s">
        <v>478</v>
      </c>
      <c r="E30" s="7">
        <v>338</v>
      </c>
      <c r="F30" s="7">
        <v>330</v>
      </c>
      <c r="G30" s="7">
        <v>330</v>
      </c>
      <c r="H30" s="7">
        <v>321.10000000000002</v>
      </c>
      <c r="I30" s="7">
        <v>321.10000000000002</v>
      </c>
      <c r="J30" s="7">
        <v>13657280</v>
      </c>
      <c r="K30" s="7">
        <v>42400</v>
      </c>
      <c r="L30" s="7">
        <v>509</v>
      </c>
      <c r="M30" s="7">
        <v>145.05000000000001</v>
      </c>
      <c r="N30" s="7">
        <v>328.04</v>
      </c>
      <c r="O30" s="10">
        <v>-0.05</v>
      </c>
      <c r="P30" s="8">
        <f t="shared" si="0"/>
        <v>328.03999999999996</v>
      </c>
    </row>
    <row r="31" spans="1:16" ht="15">
      <c r="A31" s="6" t="s">
        <v>17</v>
      </c>
      <c r="B31" s="6" t="s">
        <v>18</v>
      </c>
      <c r="C31" s="6" t="s">
        <v>495</v>
      </c>
      <c r="D31" s="6" t="s">
        <v>496</v>
      </c>
      <c r="E31" s="7">
        <v>468.5</v>
      </c>
      <c r="F31" s="7">
        <v>468.5</v>
      </c>
      <c r="G31" s="7">
        <v>486</v>
      </c>
      <c r="H31" s="7">
        <v>468.5</v>
      </c>
      <c r="I31" s="7">
        <v>484.85</v>
      </c>
      <c r="J31" s="7">
        <v>13299113</v>
      </c>
      <c r="K31" s="7">
        <v>27750</v>
      </c>
      <c r="L31" s="7">
        <v>607.4</v>
      </c>
      <c r="M31" s="7">
        <v>219.45</v>
      </c>
      <c r="N31" s="7">
        <v>475.27</v>
      </c>
      <c r="O31" s="10">
        <v>3.49E-2</v>
      </c>
      <c r="P31" s="8">
        <f t="shared" si="0"/>
        <v>475.27</v>
      </c>
    </row>
    <row r="32" spans="1:16" ht="15">
      <c r="A32" s="6" t="s">
        <v>17</v>
      </c>
      <c r="B32" s="6" t="s">
        <v>18</v>
      </c>
      <c r="C32" s="6" t="s">
        <v>878</v>
      </c>
      <c r="D32" s="6" t="s">
        <v>879</v>
      </c>
      <c r="E32" s="7">
        <v>539.85</v>
      </c>
      <c r="F32" s="7">
        <v>532.6</v>
      </c>
      <c r="G32" s="7">
        <v>585</v>
      </c>
      <c r="H32" s="7">
        <v>532.6</v>
      </c>
      <c r="I32" s="7">
        <v>582.25</v>
      </c>
      <c r="J32" s="7">
        <v>12412750</v>
      </c>
      <c r="K32" s="7">
        <v>22000</v>
      </c>
      <c r="L32" s="7">
        <v>805</v>
      </c>
      <c r="M32" s="7">
        <v>200.3</v>
      </c>
      <c r="N32" s="7">
        <v>554.46</v>
      </c>
      <c r="O32" s="10">
        <v>7.85E-2</v>
      </c>
      <c r="P32" s="8">
        <f t="shared" si="0"/>
        <v>554.46</v>
      </c>
    </row>
    <row r="33" spans="1:16" ht="15">
      <c r="A33" s="6" t="s">
        <v>17</v>
      </c>
      <c r="B33" s="6" t="s">
        <v>18</v>
      </c>
      <c r="C33" s="6" t="s">
        <v>233</v>
      </c>
      <c r="D33" s="6" t="s">
        <v>234</v>
      </c>
      <c r="E33" s="7">
        <v>217.8</v>
      </c>
      <c r="F33" s="7">
        <v>215</v>
      </c>
      <c r="G33" s="7">
        <v>216.15</v>
      </c>
      <c r="H33" s="7">
        <v>202.35</v>
      </c>
      <c r="I33" s="7">
        <v>204.55</v>
      </c>
      <c r="J33" s="7">
        <v>11747280</v>
      </c>
      <c r="K33" s="7">
        <v>56000</v>
      </c>
      <c r="L33" s="7">
        <v>347.1</v>
      </c>
      <c r="M33" s="7">
        <v>202.35</v>
      </c>
      <c r="N33" s="7">
        <v>211.17</v>
      </c>
      <c r="O33" s="10">
        <v>-6.08E-2</v>
      </c>
      <c r="P33" s="8">
        <f t="shared" si="0"/>
        <v>211.17000000000002</v>
      </c>
    </row>
    <row r="34" spans="1:16" ht="15">
      <c r="A34" s="6" t="s">
        <v>17</v>
      </c>
      <c r="B34" s="6" t="s">
        <v>18</v>
      </c>
      <c r="C34" s="6" t="s">
        <v>920</v>
      </c>
      <c r="D34" s="6" t="s">
        <v>921</v>
      </c>
      <c r="E34" s="7">
        <v>640.65</v>
      </c>
      <c r="F34" s="7">
        <v>653.85</v>
      </c>
      <c r="G34" s="7">
        <v>660</v>
      </c>
      <c r="H34" s="7">
        <v>645</v>
      </c>
      <c r="I34" s="7">
        <v>651.45000000000005</v>
      </c>
      <c r="J34" s="7">
        <v>11217730</v>
      </c>
      <c r="K34" s="7">
        <v>17200</v>
      </c>
      <c r="L34" s="7">
        <v>1860</v>
      </c>
      <c r="M34" s="7">
        <v>565</v>
      </c>
      <c r="N34" s="7">
        <v>650.19000000000005</v>
      </c>
      <c r="O34" s="10">
        <v>1.6899999999999998E-2</v>
      </c>
      <c r="P34" s="8">
        <f t="shared" si="0"/>
        <v>650.18999999999994</v>
      </c>
    </row>
    <row r="35" spans="1:16" ht="15">
      <c r="A35" s="6" t="s">
        <v>17</v>
      </c>
      <c r="B35" s="6" t="s">
        <v>18</v>
      </c>
      <c r="C35" s="6" t="s">
        <v>120</v>
      </c>
      <c r="D35" s="6" t="s">
        <v>121</v>
      </c>
      <c r="E35" s="7">
        <v>619.4</v>
      </c>
      <c r="F35" s="7">
        <v>629</v>
      </c>
      <c r="G35" s="7">
        <v>629</v>
      </c>
      <c r="H35" s="7">
        <v>604</v>
      </c>
      <c r="I35" s="7">
        <v>616.75</v>
      </c>
      <c r="J35" s="7">
        <v>11125763</v>
      </c>
      <c r="K35" s="7">
        <v>18000</v>
      </c>
      <c r="L35" s="7">
        <v>649.9</v>
      </c>
      <c r="M35" s="7">
        <v>328.1</v>
      </c>
      <c r="N35" s="7">
        <v>619.63</v>
      </c>
      <c r="O35" s="10">
        <v>-4.3E-3</v>
      </c>
      <c r="P35" s="8">
        <f t="shared" si="0"/>
        <v>619.63</v>
      </c>
    </row>
    <row r="36" spans="1:16" ht="15">
      <c r="A36" s="6" t="s">
        <v>17</v>
      </c>
      <c r="B36" s="6" t="s">
        <v>18</v>
      </c>
      <c r="C36" s="6" t="s">
        <v>690</v>
      </c>
      <c r="D36" s="6" t="s">
        <v>691</v>
      </c>
      <c r="E36" s="7">
        <v>142.9</v>
      </c>
      <c r="F36" s="7">
        <v>142.05000000000001</v>
      </c>
      <c r="G36" s="7">
        <v>143.94999999999999</v>
      </c>
      <c r="H36" s="7">
        <v>139</v>
      </c>
      <c r="I36" s="7">
        <v>141.85</v>
      </c>
      <c r="J36" s="7">
        <v>10567520</v>
      </c>
      <c r="K36" s="7">
        <v>74800</v>
      </c>
      <c r="L36" s="7">
        <v>525</v>
      </c>
      <c r="M36" s="7">
        <v>138.15</v>
      </c>
      <c r="N36" s="7">
        <v>141.94999999999999</v>
      </c>
      <c r="O36" s="10">
        <v>-7.3000000000000001E-3</v>
      </c>
      <c r="P36" s="8">
        <f t="shared" si="0"/>
        <v>141.95000000000002</v>
      </c>
    </row>
    <row r="37" spans="1:16" ht="15">
      <c r="A37" s="6" t="s">
        <v>17</v>
      </c>
      <c r="B37" s="6" t="s">
        <v>18</v>
      </c>
      <c r="C37" s="6" t="s">
        <v>549</v>
      </c>
      <c r="D37" s="6" t="s">
        <v>550</v>
      </c>
      <c r="E37" s="7">
        <v>237.7</v>
      </c>
      <c r="F37" s="7">
        <v>248.6</v>
      </c>
      <c r="G37" s="7">
        <v>249.55</v>
      </c>
      <c r="H37" s="7">
        <v>242.45</v>
      </c>
      <c r="I37" s="7">
        <v>247.9</v>
      </c>
      <c r="J37" s="7">
        <v>10562430</v>
      </c>
      <c r="K37" s="7">
        <v>42500</v>
      </c>
      <c r="L37" s="7">
        <v>930</v>
      </c>
      <c r="M37" s="7">
        <v>200.1</v>
      </c>
      <c r="N37" s="7">
        <v>245.24</v>
      </c>
      <c r="O37" s="10">
        <v>4.2900000000000001E-2</v>
      </c>
      <c r="P37" s="8">
        <f t="shared" si="0"/>
        <v>245.24</v>
      </c>
    </row>
    <row r="38" spans="1:16" ht="15">
      <c r="A38" s="6" t="s">
        <v>17</v>
      </c>
      <c r="B38" s="6" t="s">
        <v>18</v>
      </c>
      <c r="C38" s="6" t="s">
        <v>539</v>
      </c>
      <c r="D38" s="6" t="s">
        <v>540</v>
      </c>
      <c r="E38" s="7">
        <v>304.35000000000002</v>
      </c>
      <c r="F38" s="7">
        <v>307</v>
      </c>
      <c r="G38" s="7">
        <v>308</v>
      </c>
      <c r="H38" s="7">
        <v>300.39999999999998</v>
      </c>
      <c r="I38" s="7">
        <v>301.89999999999998</v>
      </c>
      <c r="J38" s="7">
        <v>10168440</v>
      </c>
      <c r="K38" s="7">
        <v>33600</v>
      </c>
      <c r="L38" s="7">
        <v>355</v>
      </c>
      <c r="M38" s="7">
        <v>98.15</v>
      </c>
      <c r="N38" s="7">
        <v>304.33</v>
      </c>
      <c r="O38" s="10">
        <v>-8.0000000000000002E-3</v>
      </c>
      <c r="P38" s="8">
        <f t="shared" si="0"/>
        <v>304.33000000000004</v>
      </c>
    </row>
    <row r="39" spans="1:16" ht="15">
      <c r="A39" s="6" t="s">
        <v>17</v>
      </c>
      <c r="B39" s="6" t="s">
        <v>18</v>
      </c>
      <c r="C39" s="6" t="s">
        <v>317</v>
      </c>
      <c r="D39" s="6" t="s">
        <v>318</v>
      </c>
      <c r="E39" s="7">
        <v>325</v>
      </c>
      <c r="F39" s="7">
        <v>319</v>
      </c>
      <c r="G39" s="7">
        <v>324</v>
      </c>
      <c r="H39" s="7">
        <v>318</v>
      </c>
      <c r="I39" s="7">
        <v>319.45</v>
      </c>
      <c r="J39" s="7">
        <v>10102520</v>
      </c>
      <c r="K39" s="7">
        <v>31600</v>
      </c>
      <c r="L39" s="7">
        <v>616.5</v>
      </c>
      <c r="M39" s="7">
        <v>230</v>
      </c>
      <c r="N39" s="7">
        <v>321.08999999999997</v>
      </c>
      <c r="O39" s="10">
        <v>-1.7100000000000001E-2</v>
      </c>
      <c r="P39" s="8">
        <f t="shared" si="0"/>
        <v>321.09000000000003</v>
      </c>
    </row>
    <row r="40" spans="1:16" ht="15">
      <c r="A40" s="6" t="s">
        <v>17</v>
      </c>
      <c r="B40" s="6" t="s">
        <v>18</v>
      </c>
      <c r="C40" s="6" t="s">
        <v>912</v>
      </c>
      <c r="D40" s="6" t="s">
        <v>913</v>
      </c>
      <c r="E40" s="7">
        <v>203</v>
      </c>
      <c r="F40" s="7">
        <v>203</v>
      </c>
      <c r="G40" s="7">
        <v>218.9</v>
      </c>
      <c r="H40" s="7">
        <v>192.15</v>
      </c>
      <c r="I40" s="7">
        <v>215.3</v>
      </c>
      <c r="J40" s="7">
        <v>9992450</v>
      </c>
      <c r="K40" s="7">
        <v>48000</v>
      </c>
      <c r="L40" s="7">
        <v>279.95</v>
      </c>
      <c r="M40" s="7">
        <v>145</v>
      </c>
      <c r="N40" s="7">
        <v>206.47</v>
      </c>
      <c r="O40" s="10">
        <v>6.0600000000000001E-2</v>
      </c>
      <c r="P40" s="8">
        <f t="shared" si="0"/>
        <v>206.46999999999997</v>
      </c>
    </row>
    <row r="41" spans="1:16" ht="15">
      <c r="A41" s="6" t="s">
        <v>17</v>
      </c>
      <c r="B41" s="6" t="s">
        <v>18</v>
      </c>
      <c r="C41" s="6" t="s">
        <v>445</v>
      </c>
      <c r="D41" s="6" t="s">
        <v>446</v>
      </c>
      <c r="E41" s="7">
        <v>137.80000000000001</v>
      </c>
      <c r="F41" s="7">
        <v>134</v>
      </c>
      <c r="G41" s="7">
        <v>135</v>
      </c>
      <c r="H41" s="7">
        <v>133</v>
      </c>
      <c r="I41" s="7">
        <v>134</v>
      </c>
      <c r="J41" s="7">
        <v>9850000</v>
      </c>
      <c r="K41" s="7">
        <v>73000</v>
      </c>
      <c r="L41" s="7">
        <v>166.1</v>
      </c>
      <c r="M41" s="7">
        <v>75.5</v>
      </c>
      <c r="N41" s="7">
        <v>134.76</v>
      </c>
      <c r="O41" s="10">
        <v>-2.76E-2</v>
      </c>
      <c r="P41" s="8">
        <f t="shared" si="0"/>
        <v>134.76</v>
      </c>
    </row>
    <row r="42" spans="1:16" ht="15">
      <c r="A42" s="6" t="s">
        <v>17</v>
      </c>
      <c r="B42" s="6" t="s">
        <v>18</v>
      </c>
      <c r="C42" s="6" t="s">
        <v>706</v>
      </c>
      <c r="D42" s="6" t="s">
        <v>707</v>
      </c>
      <c r="E42" s="7">
        <v>371.1</v>
      </c>
      <c r="F42" s="7">
        <v>367.6</v>
      </c>
      <c r="G42" s="7">
        <v>390</v>
      </c>
      <c r="H42" s="7">
        <v>367</v>
      </c>
      <c r="I42" s="7">
        <v>386.7</v>
      </c>
      <c r="J42" s="7">
        <v>9651800</v>
      </c>
      <c r="K42" s="7">
        <v>25400</v>
      </c>
      <c r="L42" s="7">
        <v>580</v>
      </c>
      <c r="M42" s="7">
        <v>345.05</v>
      </c>
      <c r="N42" s="7">
        <v>376.48</v>
      </c>
      <c r="O42" s="10">
        <v>4.2000000000000003E-2</v>
      </c>
      <c r="P42" s="8">
        <f t="shared" si="0"/>
        <v>376.48</v>
      </c>
    </row>
    <row r="43" spans="1:16" ht="15">
      <c r="A43" s="6" t="s">
        <v>17</v>
      </c>
      <c r="B43" s="6" t="s">
        <v>18</v>
      </c>
      <c r="C43" s="6" t="s">
        <v>692</v>
      </c>
      <c r="D43" s="6" t="s">
        <v>693</v>
      </c>
      <c r="E43" s="7">
        <v>889</v>
      </c>
      <c r="F43" s="7">
        <v>899.95</v>
      </c>
      <c r="G43" s="7">
        <v>919.5</v>
      </c>
      <c r="H43" s="7">
        <v>870.55</v>
      </c>
      <c r="I43" s="7">
        <v>910.8</v>
      </c>
      <c r="J43" s="7">
        <v>9389894</v>
      </c>
      <c r="K43" s="7">
        <v>10375</v>
      </c>
      <c r="L43" s="7">
        <v>1735</v>
      </c>
      <c r="M43" s="7">
        <v>685</v>
      </c>
      <c r="N43" s="7">
        <v>897.96</v>
      </c>
      <c r="O43" s="10">
        <v>2.4500000000000001E-2</v>
      </c>
      <c r="P43" s="8">
        <f t="shared" si="0"/>
        <v>897.96</v>
      </c>
    </row>
    <row r="44" spans="1:16" ht="15">
      <c r="A44" s="6" t="s">
        <v>17</v>
      </c>
      <c r="B44" s="6" t="s">
        <v>18</v>
      </c>
      <c r="C44" s="6" t="s">
        <v>752</v>
      </c>
      <c r="D44" s="6" t="s">
        <v>753</v>
      </c>
      <c r="E44" s="7">
        <v>81.8</v>
      </c>
      <c r="F44" s="7">
        <v>80</v>
      </c>
      <c r="G44" s="7">
        <v>80</v>
      </c>
      <c r="H44" s="7">
        <v>77.45</v>
      </c>
      <c r="I44" s="7">
        <v>77.75</v>
      </c>
      <c r="J44" s="7">
        <v>9366000</v>
      </c>
      <c r="K44" s="7">
        <v>118000</v>
      </c>
      <c r="L44" s="7">
        <v>139.65</v>
      </c>
      <c r="M44" s="7">
        <v>77.45</v>
      </c>
      <c r="N44" s="7">
        <v>79.400000000000006</v>
      </c>
      <c r="O44" s="10">
        <v>-4.9500000000000002E-2</v>
      </c>
      <c r="P44" s="8">
        <f t="shared" si="0"/>
        <v>79.400000000000006</v>
      </c>
    </row>
    <row r="45" spans="1:16" ht="15">
      <c r="A45" s="6" t="s">
        <v>17</v>
      </c>
      <c r="B45" s="6" t="s">
        <v>18</v>
      </c>
      <c r="C45" s="6" t="s">
        <v>650</v>
      </c>
      <c r="D45" s="6" t="s">
        <v>651</v>
      </c>
      <c r="E45" s="7">
        <v>319.55</v>
      </c>
      <c r="F45" s="7">
        <v>314</v>
      </c>
      <c r="G45" s="7">
        <v>344.85</v>
      </c>
      <c r="H45" s="7">
        <v>314</v>
      </c>
      <c r="I45" s="7">
        <v>335.55</v>
      </c>
      <c r="J45" s="7">
        <v>8537330</v>
      </c>
      <c r="K45" s="7">
        <v>25800</v>
      </c>
      <c r="L45" s="7">
        <v>595.85</v>
      </c>
      <c r="M45" s="7">
        <v>249.85</v>
      </c>
      <c r="N45" s="7">
        <v>325.58999999999997</v>
      </c>
      <c r="O45" s="10">
        <v>5.0099999999999999E-2</v>
      </c>
      <c r="P45" s="8">
        <f t="shared" si="0"/>
        <v>325.59000000000003</v>
      </c>
    </row>
    <row r="46" spans="1:16" ht="15">
      <c r="A46" s="6" t="s">
        <v>17</v>
      </c>
      <c r="B46" s="6" t="s">
        <v>18</v>
      </c>
      <c r="C46" s="6" t="s">
        <v>108</v>
      </c>
      <c r="D46" s="6" t="s">
        <v>109</v>
      </c>
      <c r="E46" s="7">
        <v>309.85000000000002</v>
      </c>
      <c r="F46" s="7">
        <v>306.05</v>
      </c>
      <c r="G46" s="7">
        <v>327</v>
      </c>
      <c r="H46" s="7">
        <v>306.05</v>
      </c>
      <c r="I46" s="7">
        <v>323.95</v>
      </c>
      <c r="J46" s="7">
        <v>8330600</v>
      </c>
      <c r="K46" s="7">
        <v>26000</v>
      </c>
      <c r="L46" s="7">
        <v>654</v>
      </c>
      <c r="M46" s="7">
        <v>293</v>
      </c>
      <c r="N46" s="7">
        <v>314.58</v>
      </c>
      <c r="O46" s="10">
        <v>4.5499999999999999E-2</v>
      </c>
      <c r="P46" s="8">
        <f t="shared" si="0"/>
        <v>314.58000000000004</v>
      </c>
    </row>
    <row r="47" spans="1:16" ht="15">
      <c r="A47" s="6" t="s">
        <v>17</v>
      </c>
      <c r="B47" s="6" t="s">
        <v>18</v>
      </c>
      <c r="C47" s="6" t="s">
        <v>894</v>
      </c>
      <c r="D47" s="6" t="s">
        <v>895</v>
      </c>
      <c r="E47" s="7">
        <v>22.9</v>
      </c>
      <c r="F47" s="7">
        <v>22.9</v>
      </c>
      <c r="G47" s="7">
        <v>24</v>
      </c>
      <c r="H47" s="7">
        <v>22</v>
      </c>
      <c r="I47" s="7">
        <v>22.3</v>
      </c>
      <c r="J47" s="7">
        <v>8279850</v>
      </c>
      <c r="K47" s="7">
        <v>363000</v>
      </c>
      <c r="L47" s="7">
        <v>34.450000000000003</v>
      </c>
      <c r="M47" s="7">
        <v>21.3</v>
      </c>
      <c r="N47" s="7">
        <v>22.82</v>
      </c>
      <c r="O47" s="10">
        <v>-2.6200000000000001E-2</v>
      </c>
      <c r="P47" s="8">
        <f t="shared" si="0"/>
        <v>22.82</v>
      </c>
    </row>
    <row r="48" spans="1:16" ht="15">
      <c r="A48" s="6" t="s">
        <v>17</v>
      </c>
      <c r="B48" s="6" t="s">
        <v>18</v>
      </c>
      <c r="C48" s="6" t="s">
        <v>182</v>
      </c>
      <c r="D48" s="6" t="s">
        <v>183</v>
      </c>
      <c r="E48" s="7">
        <v>156.44999999999999</v>
      </c>
      <c r="F48" s="7">
        <v>157</v>
      </c>
      <c r="G48" s="7">
        <v>160.19999999999999</v>
      </c>
      <c r="H48" s="7">
        <v>156.55000000000001</v>
      </c>
      <c r="I48" s="7">
        <v>159.1</v>
      </c>
      <c r="J48" s="7">
        <v>8031320</v>
      </c>
      <c r="K48" s="7">
        <v>50400</v>
      </c>
      <c r="L48" s="7">
        <v>259</v>
      </c>
      <c r="M48" s="7">
        <v>134.4</v>
      </c>
      <c r="N48" s="7">
        <v>157.86000000000001</v>
      </c>
      <c r="O48" s="10">
        <v>1.6899999999999998E-2</v>
      </c>
      <c r="P48" s="8">
        <f t="shared" si="0"/>
        <v>157.86000000000001</v>
      </c>
    </row>
    <row r="49" spans="1:16" ht="15">
      <c r="A49" s="6" t="s">
        <v>17</v>
      </c>
      <c r="B49" s="6" t="s">
        <v>18</v>
      </c>
      <c r="C49" s="6" t="s">
        <v>291</v>
      </c>
      <c r="D49" s="6" t="s">
        <v>292</v>
      </c>
      <c r="E49" s="7">
        <v>184</v>
      </c>
      <c r="F49" s="7">
        <v>184</v>
      </c>
      <c r="G49" s="7">
        <v>185.65</v>
      </c>
      <c r="H49" s="7">
        <v>180</v>
      </c>
      <c r="I49" s="7">
        <v>182.95</v>
      </c>
      <c r="J49" s="7">
        <v>7888020</v>
      </c>
      <c r="K49" s="7">
        <v>43200</v>
      </c>
      <c r="L49" s="7">
        <v>221.95</v>
      </c>
      <c r="M49" s="7">
        <v>117.2</v>
      </c>
      <c r="N49" s="7">
        <v>183.32</v>
      </c>
      <c r="O49" s="10">
        <v>-5.7000000000000002E-3</v>
      </c>
      <c r="P49" s="8">
        <f t="shared" si="0"/>
        <v>183.32</v>
      </c>
    </row>
    <row r="50" spans="1:16" ht="15">
      <c r="A50" s="6" t="s">
        <v>17</v>
      </c>
      <c r="B50" s="6" t="s">
        <v>18</v>
      </c>
      <c r="C50" s="6" t="s">
        <v>164</v>
      </c>
      <c r="D50" s="6" t="s">
        <v>165</v>
      </c>
      <c r="E50" s="7">
        <v>274</v>
      </c>
      <c r="F50" s="7">
        <v>273.85000000000002</v>
      </c>
      <c r="G50" s="7">
        <v>273.85000000000002</v>
      </c>
      <c r="H50" s="7">
        <v>262.10000000000002</v>
      </c>
      <c r="I50" s="7">
        <v>266.10000000000002</v>
      </c>
      <c r="J50" s="7">
        <v>7693720</v>
      </c>
      <c r="K50" s="7">
        <v>28800</v>
      </c>
      <c r="L50" s="7">
        <v>358</v>
      </c>
      <c r="M50" s="7">
        <v>140</v>
      </c>
      <c r="N50" s="7">
        <v>269.98</v>
      </c>
      <c r="O50" s="10">
        <v>-2.8799999999999999E-2</v>
      </c>
      <c r="P50" s="8">
        <f t="shared" si="0"/>
        <v>269.98</v>
      </c>
    </row>
    <row r="51" spans="1:16" ht="15">
      <c r="A51" s="6" t="s">
        <v>17</v>
      </c>
      <c r="B51" s="6" t="s">
        <v>18</v>
      </c>
      <c r="C51" s="6" t="s">
        <v>790</v>
      </c>
      <c r="D51" s="6" t="s">
        <v>791</v>
      </c>
      <c r="E51" s="7">
        <v>115</v>
      </c>
      <c r="F51" s="7">
        <v>109</v>
      </c>
      <c r="G51" s="7">
        <v>114.95</v>
      </c>
      <c r="H51" s="7">
        <v>105.55</v>
      </c>
      <c r="I51" s="7">
        <v>109</v>
      </c>
      <c r="J51" s="7">
        <v>7637760</v>
      </c>
      <c r="K51" s="7">
        <v>70800</v>
      </c>
      <c r="L51" s="7">
        <v>173.55</v>
      </c>
      <c r="M51" s="7">
        <v>105.55</v>
      </c>
      <c r="N51" s="7">
        <v>110.7</v>
      </c>
      <c r="O51" s="10">
        <v>-5.2200000000000003E-2</v>
      </c>
      <c r="P51" s="8">
        <f t="shared" si="0"/>
        <v>110.7</v>
      </c>
    </row>
    <row r="52" spans="1:16" ht="15">
      <c r="A52" s="6" t="s">
        <v>206</v>
      </c>
      <c r="B52" s="6" t="s">
        <v>35</v>
      </c>
      <c r="C52" s="6" t="s">
        <v>207</v>
      </c>
      <c r="D52" s="6" t="s">
        <v>208</v>
      </c>
      <c r="E52" s="7">
        <v>401</v>
      </c>
      <c r="F52" s="7">
        <v>398.15</v>
      </c>
      <c r="G52" s="7">
        <v>407</v>
      </c>
      <c r="H52" s="7">
        <v>398.1</v>
      </c>
      <c r="I52" s="7">
        <v>407</v>
      </c>
      <c r="J52" s="7">
        <v>7521750</v>
      </c>
      <c r="K52" s="7">
        <v>18600</v>
      </c>
      <c r="L52" s="7">
        <v>407</v>
      </c>
      <c r="M52" s="7">
        <v>90.5</v>
      </c>
      <c r="N52" s="7">
        <v>402.25</v>
      </c>
      <c r="O52" s="10">
        <v>1.4999999999999999E-2</v>
      </c>
      <c r="P52" s="8">
        <f t="shared" si="0"/>
        <v>402.25</v>
      </c>
    </row>
    <row r="53" spans="1:16" ht="15">
      <c r="A53" s="6" t="s">
        <v>17</v>
      </c>
      <c r="B53" s="6" t="s">
        <v>18</v>
      </c>
      <c r="C53" s="6" t="s">
        <v>744</v>
      </c>
      <c r="D53" s="6" t="s">
        <v>745</v>
      </c>
      <c r="E53" s="7">
        <v>235.1</v>
      </c>
      <c r="F53" s="7">
        <v>235</v>
      </c>
      <c r="G53" s="7">
        <v>235</v>
      </c>
      <c r="H53" s="7">
        <v>222</v>
      </c>
      <c r="I53" s="7">
        <v>224.85</v>
      </c>
      <c r="J53" s="7">
        <v>7519080</v>
      </c>
      <c r="K53" s="7">
        <v>33000</v>
      </c>
      <c r="L53" s="7">
        <v>280.10000000000002</v>
      </c>
      <c r="M53" s="7">
        <v>126.5</v>
      </c>
      <c r="N53" s="7">
        <v>230.39</v>
      </c>
      <c r="O53" s="10">
        <v>-4.36E-2</v>
      </c>
      <c r="P53" s="8">
        <f t="shared" si="0"/>
        <v>230.39000000000001</v>
      </c>
    </row>
    <row r="54" spans="1:16" ht="15">
      <c r="A54" s="6" t="s">
        <v>17</v>
      </c>
      <c r="B54" s="6" t="s">
        <v>18</v>
      </c>
      <c r="C54" s="6" t="s">
        <v>906</v>
      </c>
      <c r="D54" s="6" t="s">
        <v>907</v>
      </c>
      <c r="E54" s="7">
        <v>1060.6500000000001</v>
      </c>
      <c r="F54" s="7">
        <v>1080</v>
      </c>
      <c r="G54" s="7">
        <v>1088</v>
      </c>
      <c r="H54" s="7">
        <v>1050</v>
      </c>
      <c r="I54" s="7">
        <v>1073.6500000000001</v>
      </c>
      <c r="J54" s="7">
        <v>7326990</v>
      </c>
      <c r="K54" s="7">
        <v>6900</v>
      </c>
      <c r="L54" s="7">
        <v>1440</v>
      </c>
      <c r="M54" s="7">
        <v>575.79999999999995</v>
      </c>
      <c r="N54" s="7">
        <v>1070.46</v>
      </c>
      <c r="O54" s="10">
        <v>1.23E-2</v>
      </c>
      <c r="P54" s="8">
        <f t="shared" si="0"/>
        <v>1070.4599999999998</v>
      </c>
    </row>
    <row r="55" spans="1:16" ht="15">
      <c r="A55" s="6" t="s">
        <v>17</v>
      </c>
      <c r="B55" s="6" t="s">
        <v>18</v>
      </c>
      <c r="C55" s="6" t="s">
        <v>900</v>
      </c>
      <c r="D55" s="6" t="s">
        <v>901</v>
      </c>
      <c r="E55" s="7">
        <v>335.65</v>
      </c>
      <c r="F55" s="7">
        <v>325</v>
      </c>
      <c r="G55" s="7">
        <v>334.45</v>
      </c>
      <c r="H55" s="7">
        <v>321</v>
      </c>
      <c r="I55" s="7">
        <v>324.64999999999998</v>
      </c>
      <c r="J55" s="7">
        <v>7286950</v>
      </c>
      <c r="K55" s="7">
        <v>22250</v>
      </c>
      <c r="L55" s="7">
        <v>673.7</v>
      </c>
      <c r="M55" s="7">
        <v>291</v>
      </c>
      <c r="N55" s="7">
        <v>328.15</v>
      </c>
      <c r="O55" s="10">
        <v>-3.2800000000000003E-2</v>
      </c>
      <c r="P55" s="8">
        <f t="shared" si="0"/>
        <v>328.15</v>
      </c>
    </row>
    <row r="56" spans="1:16" ht="15">
      <c r="A56" s="6" t="s">
        <v>17</v>
      </c>
      <c r="B56" s="6" t="s">
        <v>18</v>
      </c>
      <c r="C56" s="6" t="s">
        <v>876</v>
      </c>
      <c r="D56" s="6" t="s">
        <v>877</v>
      </c>
      <c r="E56" s="7">
        <v>221.35</v>
      </c>
      <c r="F56" s="7">
        <v>218</v>
      </c>
      <c r="G56" s="7">
        <v>220</v>
      </c>
      <c r="H56" s="7">
        <v>212.95</v>
      </c>
      <c r="I56" s="7">
        <v>215.1</v>
      </c>
      <c r="J56" s="7">
        <v>7269150</v>
      </c>
      <c r="K56" s="7">
        <v>33600</v>
      </c>
      <c r="L56" s="7">
        <v>281</v>
      </c>
      <c r="M56" s="7">
        <v>145.05000000000001</v>
      </c>
      <c r="N56" s="7">
        <v>217.48</v>
      </c>
      <c r="O56" s="10">
        <v>-2.8199999999999999E-2</v>
      </c>
      <c r="P56" s="8">
        <f t="shared" si="0"/>
        <v>217.47999999999996</v>
      </c>
    </row>
    <row r="57" spans="1:16" ht="15">
      <c r="A57" s="6" t="s">
        <v>17</v>
      </c>
      <c r="B57" s="6" t="s">
        <v>18</v>
      </c>
      <c r="C57" s="6" t="s">
        <v>932</v>
      </c>
      <c r="D57" s="6" t="s">
        <v>933</v>
      </c>
      <c r="E57" s="7">
        <v>212.25</v>
      </c>
      <c r="F57" s="7">
        <v>213.25</v>
      </c>
      <c r="G57" s="7">
        <v>218.35</v>
      </c>
      <c r="H57" s="7">
        <v>193.85</v>
      </c>
      <c r="I57" s="7">
        <v>197.45</v>
      </c>
      <c r="J57" s="7">
        <v>7012060</v>
      </c>
      <c r="K57" s="7">
        <v>34400</v>
      </c>
      <c r="L57" s="7">
        <v>380.1</v>
      </c>
      <c r="M57" s="7">
        <v>193.85</v>
      </c>
      <c r="N57" s="7">
        <v>207.03</v>
      </c>
      <c r="O57" s="10">
        <v>-6.9699999999999998E-2</v>
      </c>
      <c r="P57" s="8">
        <f t="shared" si="0"/>
        <v>207.03000000000003</v>
      </c>
    </row>
    <row r="58" spans="1:16" ht="15">
      <c r="A58" s="6" t="s">
        <v>17</v>
      </c>
      <c r="B58" s="6" t="s">
        <v>35</v>
      </c>
      <c r="C58" s="6" t="s">
        <v>309</v>
      </c>
      <c r="D58" s="6" t="s">
        <v>310</v>
      </c>
      <c r="E58" s="7">
        <v>44.05</v>
      </c>
      <c r="F58" s="7">
        <v>44.05</v>
      </c>
      <c r="G58" s="7">
        <v>44.4</v>
      </c>
      <c r="H58" s="7">
        <v>43</v>
      </c>
      <c r="I58" s="7">
        <v>44.1</v>
      </c>
      <c r="J58" s="7">
        <v>6958650</v>
      </c>
      <c r="K58" s="7">
        <v>159000</v>
      </c>
      <c r="L58" s="7">
        <v>179</v>
      </c>
      <c r="M58" s="7">
        <v>40</v>
      </c>
      <c r="N58" s="7">
        <v>43.92</v>
      </c>
      <c r="O58" s="10">
        <v>1.1000000000000001E-3</v>
      </c>
      <c r="P58" s="8">
        <f t="shared" si="0"/>
        <v>43.92</v>
      </c>
    </row>
    <row r="59" spans="1:16" ht="15">
      <c r="A59" s="6" t="s">
        <v>17</v>
      </c>
      <c r="B59" s="6" t="s">
        <v>18</v>
      </c>
      <c r="C59" s="6" t="s">
        <v>413</v>
      </c>
      <c r="D59" s="6" t="s">
        <v>414</v>
      </c>
      <c r="E59" s="7">
        <v>19.2</v>
      </c>
      <c r="F59" s="7">
        <v>19.100000000000001</v>
      </c>
      <c r="G59" s="7">
        <v>20.7</v>
      </c>
      <c r="H59" s="7">
        <v>18.5</v>
      </c>
      <c r="I59" s="7">
        <v>19.399999999999999</v>
      </c>
      <c r="J59" s="7">
        <v>6595125</v>
      </c>
      <c r="K59" s="7">
        <v>340000</v>
      </c>
      <c r="L59" s="7">
        <v>57.55</v>
      </c>
      <c r="M59" s="7">
        <v>16.8</v>
      </c>
      <c r="N59" s="7">
        <v>19.38</v>
      </c>
      <c r="O59" s="10">
        <v>1.04E-2</v>
      </c>
      <c r="P59" s="8">
        <f t="shared" si="0"/>
        <v>19.380000000000003</v>
      </c>
    </row>
    <row r="60" spans="1:16" ht="15">
      <c r="A60" s="6" t="s">
        <v>17</v>
      </c>
      <c r="B60" s="6" t="s">
        <v>18</v>
      </c>
      <c r="C60" s="6" t="s">
        <v>253</v>
      </c>
      <c r="D60" s="6" t="s">
        <v>254</v>
      </c>
      <c r="E60" s="7">
        <v>205</v>
      </c>
      <c r="F60" s="7">
        <v>246</v>
      </c>
      <c r="G60" s="7">
        <v>246</v>
      </c>
      <c r="H60" s="7">
        <v>220.5</v>
      </c>
      <c r="I60" s="7">
        <v>226.95</v>
      </c>
      <c r="J60" s="7">
        <v>6507210</v>
      </c>
      <c r="K60" s="7">
        <v>28800</v>
      </c>
      <c r="L60" s="7">
        <v>284</v>
      </c>
      <c r="M60" s="7">
        <v>164</v>
      </c>
      <c r="N60" s="7">
        <v>228.89</v>
      </c>
      <c r="O60" s="10">
        <v>0.1071</v>
      </c>
      <c r="P60" s="8">
        <f t="shared" si="0"/>
        <v>228.89000000000001</v>
      </c>
    </row>
    <row r="61" spans="1:16" ht="15">
      <c r="A61" s="6" t="s">
        <v>17</v>
      </c>
      <c r="B61" s="6" t="s">
        <v>18</v>
      </c>
      <c r="C61" s="6" t="s">
        <v>158</v>
      </c>
      <c r="D61" s="6" t="s">
        <v>159</v>
      </c>
      <c r="E61" s="7">
        <v>27.25</v>
      </c>
      <c r="F61" s="7">
        <v>27.1</v>
      </c>
      <c r="G61" s="7">
        <v>27.8</v>
      </c>
      <c r="H61" s="7">
        <v>26.75</v>
      </c>
      <c r="I61" s="7">
        <v>27.7</v>
      </c>
      <c r="J61" s="7">
        <v>6479550</v>
      </c>
      <c r="K61" s="7">
        <v>237000</v>
      </c>
      <c r="L61" s="7">
        <v>68.8</v>
      </c>
      <c r="M61" s="7">
        <v>25.75</v>
      </c>
      <c r="N61" s="7">
        <v>27.32</v>
      </c>
      <c r="O61" s="10">
        <v>1.6500000000000001E-2</v>
      </c>
      <c r="P61" s="8">
        <f t="shared" si="0"/>
        <v>27.32</v>
      </c>
    </row>
    <row r="62" spans="1:16" ht="15">
      <c r="A62" s="6" t="s">
        <v>17</v>
      </c>
      <c r="B62" s="6" t="s">
        <v>18</v>
      </c>
      <c r="C62" s="6" t="s">
        <v>299</v>
      </c>
      <c r="D62" s="6" t="s">
        <v>300</v>
      </c>
      <c r="E62" s="7">
        <v>234.35</v>
      </c>
      <c r="F62" s="7">
        <v>226.45</v>
      </c>
      <c r="G62" s="7">
        <v>232.9</v>
      </c>
      <c r="H62" s="7">
        <v>221.05</v>
      </c>
      <c r="I62" s="7">
        <v>231.7</v>
      </c>
      <c r="J62" s="7">
        <v>6233130</v>
      </c>
      <c r="K62" s="7">
        <v>27300</v>
      </c>
      <c r="L62" s="7">
        <v>555</v>
      </c>
      <c r="M62" s="7">
        <v>221.05</v>
      </c>
      <c r="N62" s="7">
        <v>229.29</v>
      </c>
      <c r="O62" s="10">
        <v>-1.1299999999999999E-2</v>
      </c>
      <c r="P62" s="8">
        <f t="shared" si="0"/>
        <v>229.29000000000002</v>
      </c>
    </row>
    <row r="63" spans="1:16" ht="15">
      <c r="A63" s="6" t="s">
        <v>17</v>
      </c>
      <c r="B63" s="6" t="s">
        <v>35</v>
      </c>
      <c r="C63" s="6" t="s">
        <v>547</v>
      </c>
      <c r="D63" s="6" t="s">
        <v>548</v>
      </c>
      <c r="E63" s="7">
        <v>450.25</v>
      </c>
      <c r="F63" s="7">
        <v>455</v>
      </c>
      <c r="G63" s="7">
        <v>458.9</v>
      </c>
      <c r="H63" s="7">
        <v>442</v>
      </c>
      <c r="I63" s="7">
        <v>448.25</v>
      </c>
      <c r="J63" s="7">
        <v>6107910</v>
      </c>
      <c r="K63" s="7">
        <v>13600</v>
      </c>
      <c r="L63" s="7">
        <v>835</v>
      </c>
      <c r="M63" s="7">
        <v>186.25</v>
      </c>
      <c r="N63" s="7">
        <v>450.88</v>
      </c>
      <c r="O63" s="10">
        <v>-4.4000000000000003E-3</v>
      </c>
      <c r="P63" s="8">
        <f t="shared" si="0"/>
        <v>450.88</v>
      </c>
    </row>
    <row r="64" spans="1:16" ht="15">
      <c r="A64" s="6" t="s">
        <v>17</v>
      </c>
      <c r="B64" s="6" t="s">
        <v>18</v>
      </c>
      <c r="C64" s="6" t="s">
        <v>850</v>
      </c>
      <c r="D64" s="6" t="s">
        <v>851</v>
      </c>
      <c r="E64" s="7">
        <v>237.75</v>
      </c>
      <c r="F64" s="7">
        <v>249.25</v>
      </c>
      <c r="G64" s="7">
        <v>249.6</v>
      </c>
      <c r="H64" s="7">
        <v>230.5</v>
      </c>
      <c r="I64" s="7">
        <v>249.6</v>
      </c>
      <c r="J64" s="7">
        <v>6067900</v>
      </c>
      <c r="K64" s="7">
        <v>24875</v>
      </c>
      <c r="L64" s="7">
        <v>1328</v>
      </c>
      <c r="M64" s="7">
        <v>204.95</v>
      </c>
      <c r="N64" s="7">
        <v>243.34</v>
      </c>
      <c r="O64" s="10">
        <v>4.9799999999999997E-2</v>
      </c>
      <c r="P64" s="8">
        <f t="shared" si="0"/>
        <v>243.34</v>
      </c>
    </row>
    <row r="65" spans="1:16" ht="15">
      <c r="A65" s="6" t="s">
        <v>17</v>
      </c>
      <c r="B65" s="6" t="s">
        <v>18</v>
      </c>
      <c r="C65" s="6" t="s">
        <v>176</v>
      </c>
      <c r="D65" s="6" t="s">
        <v>177</v>
      </c>
      <c r="E65" s="7">
        <v>244.3</v>
      </c>
      <c r="F65" s="7">
        <v>245.4</v>
      </c>
      <c r="G65" s="7">
        <v>248</v>
      </c>
      <c r="H65" s="7">
        <v>237.4</v>
      </c>
      <c r="I65" s="7">
        <v>243.4</v>
      </c>
      <c r="J65" s="7">
        <v>5997800</v>
      </c>
      <c r="K65" s="7">
        <v>24800</v>
      </c>
      <c r="L65" s="7">
        <v>293</v>
      </c>
      <c r="M65" s="7">
        <v>177</v>
      </c>
      <c r="N65" s="7">
        <v>243.7</v>
      </c>
      <c r="O65" s="10">
        <v>-3.7000000000000002E-3</v>
      </c>
      <c r="P65" s="8">
        <f t="shared" si="0"/>
        <v>243.7</v>
      </c>
    </row>
    <row r="66" spans="1:16" ht="15">
      <c r="A66" s="6" t="s">
        <v>17</v>
      </c>
      <c r="B66" s="6" t="s">
        <v>18</v>
      </c>
      <c r="C66" s="6" t="s">
        <v>668</v>
      </c>
      <c r="D66" s="6" t="s">
        <v>669</v>
      </c>
      <c r="E66" s="7">
        <v>305</v>
      </c>
      <c r="F66" s="7">
        <v>300.5</v>
      </c>
      <c r="G66" s="7">
        <v>306</v>
      </c>
      <c r="H66" s="7">
        <v>295.55</v>
      </c>
      <c r="I66" s="7">
        <v>301.3</v>
      </c>
      <c r="J66" s="7">
        <v>5951190</v>
      </c>
      <c r="K66" s="7">
        <v>19800</v>
      </c>
      <c r="L66" s="7">
        <v>404</v>
      </c>
      <c r="M66" s="7">
        <v>205</v>
      </c>
      <c r="N66" s="7">
        <v>301.67</v>
      </c>
      <c r="O66" s="10">
        <v>-1.21E-2</v>
      </c>
      <c r="P66" s="8">
        <f t="shared" si="0"/>
        <v>301.66999999999996</v>
      </c>
    </row>
    <row r="67" spans="1:16" ht="15">
      <c r="A67" s="6" t="s">
        <v>17</v>
      </c>
      <c r="B67" s="6" t="s">
        <v>18</v>
      </c>
      <c r="C67" s="6" t="s">
        <v>569</v>
      </c>
      <c r="D67" s="6" t="s">
        <v>570</v>
      </c>
      <c r="E67" s="7">
        <v>136.75</v>
      </c>
      <c r="F67" s="7">
        <v>134</v>
      </c>
      <c r="G67" s="7">
        <v>147.44999999999999</v>
      </c>
      <c r="H67" s="7">
        <v>134</v>
      </c>
      <c r="I67" s="7">
        <v>141.85</v>
      </c>
      <c r="J67" s="7">
        <v>5900040</v>
      </c>
      <c r="K67" s="7">
        <v>42000</v>
      </c>
      <c r="L67" s="7">
        <v>268.89999999999998</v>
      </c>
      <c r="M67" s="7">
        <v>134</v>
      </c>
      <c r="N67" s="7">
        <v>138.81</v>
      </c>
      <c r="O67" s="10">
        <v>3.73E-2</v>
      </c>
      <c r="P67" s="8">
        <f t="shared" si="0"/>
        <v>138.81</v>
      </c>
    </row>
    <row r="68" spans="1:16" ht="15">
      <c r="A68" s="6" t="s">
        <v>17</v>
      </c>
      <c r="B68" s="6" t="s">
        <v>18</v>
      </c>
      <c r="C68" s="6" t="s">
        <v>188</v>
      </c>
      <c r="D68" s="6" t="s">
        <v>189</v>
      </c>
      <c r="E68" s="7">
        <v>610.6</v>
      </c>
      <c r="F68" s="7">
        <v>607.54999999999995</v>
      </c>
      <c r="G68" s="7">
        <v>627.54999999999995</v>
      </c>
      <c r="H68" s="7">
        <v>607.54999999999995</v>
      </c>
      <c r="I68" s="7">
        <v>616</v>
      </c>
      <c r="J68" s="7">
        <v>5844855</v>
      </c>
      <c r="K68" s="7">
        <v>9450</v>
      </c>
      <c r="L68" s="7">
        <v>1189</v>
      </c>
      <c r="M68" s="7">
        <v>598</v>
      </c>
      <c r="N68" s="7">
        <v>613.85</v>
      </c>
      <c r="O68" s="10">
        <v>8.8000000000000005E-3</v>
      </c>
      <c r="P68" s="8">
        <f t="shared" si="0"/>
        <v>613.85</v>
      </c>
    </row>
    <row r="69" spans="1:16" ht="15">
      <c r="A69" s="6" t="s">
        <v>17</v>
      </c>
      <c r="B69" s="6" t="s">
        <v>18</v>
      </c>
      <c r="C69" s="6" t="s">
        <v>563</v>
      </c>
      <c r="D69" s="6" t="s">
        <v>564</v>
      </c>
      <c r="E69" s="7">
        <v>619.4</v>
      </c>
      <c r="F69" s="7">
        <v>588.45000000000005</v>
      </c>
      <c r="G69" s="7">
        <v>638</v>
      </c>
      <c r="H69" s="7">
        <v>588.45000000000005</v>
      </c>
      <c r="I69" s="7">
        <v>628.95000000000005</v>
      </c>
      <c r="J69" s="7">
        <v>5611338</v>
      </c>
      <c r="K69" s="7">
        <v>9250</v>
      </c>
      <c r="L69" s="7">
        <v>662</v>
      </c>
      <c r="M69" s="7">
        <v>311.64999999999998</v>
      </c>
      <c r="N69" s="7">
        <v>612.65</v>
      </c>
      <c r="O69" s="10">
        <v>1.54E-2</v>
      </c>
      <c r="P69" s="8">
        <f t="shared" si="0"/>
        <v>612.65</v>
      </c>
    </row>
    <row r="70" spans="1:16" ht="15">
      <c r="A70" s="6" t="s">
        <v>17</v>
      </c>
      <c r="B70" s="6" t="s">
        <v>35</v>
      </c>
      <c r="C70" s="6" t="s">
        <v>501</v>
      </c>
      <c r="D70" s="6" t="s">
        <v>502</v>
      </c>
      <c r="E70" s="7">
        <v>79.2</v>
      </c>
      <c r="F70" s="7">
        <v>80</v>
      </c>
      <c r="G70" s="7">
        <v>83</v>
      </c>
      <c r="H70" s="7">
        <v>80</v>
      </c>
      <c r="I70" s="7">
        <v>82.1</v>
      </c>
      <c r="J70" s="7">
        <v>5510400</v>
      </c>
      <c r="K70" s="7">
        <v>67200</v>
      </c>
      <c r="L70" s="7">
        <v>101.15</v>
      </c>
      <c r="M70" s="7">
        <v>25.5</v>
      </c>
      <c r="N70" s="7">
        <v>80.86</v>
      </c>
      <c r="O70" s="10">
        <v>3.6600000000000001E-2</v>
      </c>
      <c r="P70" s="8">
        <f t="shared" si="0"/>
        <v>80.859999999999985</v>
      </c>
    </row>
    <row r="71" spans="1:16" ht="15">
      <c r="A71" s="6" t="s">
        <v>17</v>
      </c>
      <c r="B71" s="6" t="s">
        <v>18</v>
      </c>
      <c r="C71" s="6" t="s">
        <v>704</v>
      </c>
      <c r="D71" s="6" t="s">
        <v>705</v>
      </c>
      <c r="E71" s="7">
        <v>145.30000000000001</v>
      </c>
      <c r="F71" s="7">
        <v>144.94999999999999</v>
      </c>
      <c r="G71" s="7">
        <v>154</v>
      </c>
      <c r="H71" s="7">
        <v>141.15</v>
      </c>
      <c r="I71" s="7">
        <v>146.55000000000001</v>
      </c>
      <c r="J71" s="7">
        <v>5468800</v>
      </c>
      <c r="K71" s="7">
        <v>36800</v>
      </c>
      <c r="L71" s="7">
        <v>241.95</v>
      </c>
      <c r="M71" s="7">
        <v>124</v>
      </c>
      <c r="N71" s="7">
        <v>146.38999999999999</v>
      </c>
      <c r="O71" s="10">
        <v>8.6E-3</v>
      </c>
      <c r="P71" s="8">
        <f t="shared" si="0"/>
        <v>146.39000000000001</v>
      </c>
    </row>
    <row r="72" spans="1:16" ht="15">
      <c r="A72" s="6" t="s">
        <v>17</v>
      </c>
      <c r="B72" s="6" t="s">
        <v>18</v>
      </c>
      <c r="C72" s="6" t="s">
        <v>742</v>
      </c>
      <c r="D72" s="6" t="s">
        <v>743</v>
      </c>
      <c r="E72" s="7">
        <v>111.35</v>
      </c>
      <c r="F72" s="7">
        <v>112</v>
      </c>
      <c r="G72" s="7">
        <v>112</v>
      </c>
      <c r="H72" s="7">
        <v>109.8</v>
      </c>
      <c r="I72" s="7">
        <v>110.05</v>
      </c>
      <c r="J72" s="7">
        <v>5063350</v>
      </c>
      <c r="K72" s="7">
        <v>46000</v>
      </c>
      <c r="L72" s="7">
        <v>123.65</v>
      </c>
      <c r="M72" s="7">
        <v>95.5</v>
      </c>
      <c r="N72" s="7">
        <v>111.04</v>
      </c>
      <c r="O72" s="10">
        <v>-1.17E-2</v>
      </c>
      <c r="P72" s="8">
        <f t="shared" si="0"/>
        <v>111.04</v>
      </c>
    </row>
    <row r="73" spans="1:16" ht="15">
      <c r="A73" s="6" t="s">
        <v>17</v>
      </c>
      <c r="B73" s="6" t="s">
        <v>18</v>
      </c>
      <c r="C73" s="6" t="s">
        <v>439</v>
      </c>
      <c r="D73" s="6" t="s">
        <v>440</v>
      </c>
      <c r="E73" s="7">
        <v>608.04999999999995</v>
      </c>
      <c r="F73" s="7">
        <v>591</v>
      </c>
      <c r="G73" s="7">
        <v>614</v>
      </c>
      <c r="H73" s="7">
        <v>586.1</v>
      </c>
      <c r="I73" s="7">
        <v>609.29999999999995</v>
      </c>
      <c r="J73" s="7">
        <v>5046900</v>
      </c>
      <c r="K73" s="7">
        <v>8400</v>
      </c>
      <c r="L73" s="7">
        <v>819</v>
      </c>
      <c r="M73" s="7">
        <v>32.049999999999997</v>
      </c>
      <c r="N73" s="7">
        <v>601.69000000000005</v>
      </c>
      <c r="O73" s="10">
        <v>2.0999999999999999E-3</v>
      </c>
      <c r="P73" s="8">
        <f t="shared" si="0"/>
        <v>601.68999999999994</v>
      </c>
    </row>
    <row r="74" spans="1:16" ht="15">
      <c r="A74" s="6" t="s">
        <v>17</v>
      </c>
      <c r="B74" s="6" t="s">
        <v>18</v>
      </c>
      <c r="C74" s="6" t="s">
        <v>321</v>
      </c>
      <c r="D74" s="6" t="s">
        <v>322</v>
      </c>
      <c r="E74" s="7">
        <v>47.85</v>
      </c>
      <c r="F74" s="7">
        <v>47.5</v>
      </c>
      <c r="G74" s="7">
        <v>48.2</v>
      </c>
      <c r="H74" s="7">
        <v>45.5</v>
      </c>
      <c r="I74" s="7">
        <v>47.95</v>
      </c>
      <c r="J74" s="7">
        <v>4811160</v>
      </c>
      <c r="K74" s="7">
        <v>103200</v>
      </c>
      <c r="L74" s="7">
        <v>58.2</v>
      </c>
      <c r="M74" s="7">
        <v>30.4</v>
      </c>
      <c r="N74" s="7">
        <v>47.4</v>
      </c>
      <c r="O74" s="10">
        <v>2.0999999999999999E-3</v>
      </c>
      <c r="P74" s="8">
        <f t="shared" si="0"/>
        <v>47.4</v>
      </c>
    </row>
    <row r="75" spans="1:16" ht="15">
      <c r="A75" s="6" t="s">
        <v>17</v>
      </c>
      <c r="B75" s="6" t="s">
        <v>18</v>
      </c>
      <c r="C75" s="6" t="s">
        <v>29</v>
      </c>
      <c r="D75" s="6" t="s">
        <v>30</v>
      </c>
      <c r="E75" s="7">
        <v>178.85</v>
      </c>
      <c r="F75" s="7">
        <v>175</v>
      </c>
      <c r="G75" s="7">
        <v>183.5</v>
      </c>
      <c r="H75" s="7">
        <v>175</v>
      </c>
      <c r="I75" s="7">
        <v>180.2</v>
      </c>
      <c r="J75" s="7">
        <v>4781975</v>
      </c>
      <c r="K75" s="7">
        <v>26500</v>
      </c>
      <c r="L75" s="7">
        <v>259</v>
      </c>
      <c r="M75" s="7">
        <v>92.1</v>
      </c>
      <c r="N75" s="7">
        <v>178.51</v>
      </c>
      <c r="O75" s="10">
        <v>7.4999999999999997E-3</v>
      </c>
      <c r="P75" s="8">
        <f t="shared" si="0"/>
        <v>178.51</v>
      </c>
    </row>
    <row r="76" spans="1:16" ht="15">
      <c r="A76" s="6" t="s">
        <v>17</v>
      </c>
      <c r="B76" s="6" t="s">
        <v>18</v>
      </c>
      <c r="C76" s="6" t="s">
        <v>473</v>
      </c>
      <c r="D76" s="6" t="s">
        <v>474</v>
      </c>
      <c r="E76" s="7">
        <v>86.9</v>
      </c>
      <c r="F76" s="7">
        <v>83.6</v>
      </c>
      <c r="G76" s="7">
        <v>83.8</v>
      </c>
      <c r="H76" s="7">
        <v>81.2</v>
      </c>
      <c r="I76" s="7">
        <v>81.45</v>
      </c>
      <c r="J76" s="7">
        <v>4694520</v>
      </c>
      <c r="K76" s="7">
        <v>57600</v>
      </c>
      <c r="L76" s="7">
        <v>120</v>
      </c>
      <c r="M76" s="7">
        <v>73.55</v>
      </c>
      <c r="N76" s="7">
        <v>83.39</v>
      </c>
      <c r="O76" s="10">
        <v>-6.2700000000000006E-2</v>
      </c>
      <c r="P76" s="8">
        <f t="shared" si="0"/>
        <v>83.39</v>
      </c>
    </row>
    <row r="77" spans="1:16" ht="15">
      <c r="A77" s="6" t="s">
        <v>17</v>
      </c>
      <c r="B77" s="6" t="s">
        <v>18</v>
      </c>
      <c r="C77" s="6" t="s">
        <v>347</v>
      </c>
      <c r="D77" s="6" t="s">
        <v>348</v>
      </c>
      <c r="E77" s="7">
        <v>199</v>
      </c>
      <c r="F77" s="7">
        <v>192</v>
      </c>
      <c r="G77" s="7">
        <v>192</v>
      </c>
      <c r="H77" s="7">
        <v>190</v>
      </c>
      <c r="I77" s="7">
        <v>190</v>
      </c>
      <c r="J77" s="7">
        <v>4688575</v>
      </c>
      <c r="K77" s="7">
        <v>24500</v>
      </c>
      <c r="L77" s="7">
        <v>221</v>
      </c>
      <c r="M77" s="7">
        <v>119.2</v>
      </c>
      <c r="N77" s="7">
        <v>192.6</v>
      </c>
      <c r="O77" s="10">
        <v>-4.5199999999999997E-2</v>
      </c>
      <c r="P77" s="8">
        <f t="shared" si="0"/>
        <v>192.6</v>
      </c>
    </row>
    <row r="78" spans="1:16" ht="15">
      <c r="A78" s="6" t="s">
        <v>17</v>
      </c>
      <c r="B78" s="6" t="s">
        <v>35</v>
      </c>
      <c r="C78" s="6" t="s">
        <v>110</v>
      </c>
      <c r="D78" s="6" t="s">
        <v>111</v>
      </c>
      <c r="E78" s="7">
        <v>71.55</v>
      </c>
      <c r="F78" s="7">
        <v>68.05</v>
      </c>
      <c r="G78" s="7">
        <v>69.849999999999994</v>
      </c>
      <c r="H78" s="7">
        <v>68</v>
      </c>
      <c r="I78" s="7">
        <v>68</v>
      </c>
      <c r="J78" s="7">
        <v>4646200</v>
      </c>
      <c r="K78" s="7">
        <v>68000</v>
      </c>
      <c r="L78" s="7">
        <v>83.6</v>
      </c>
      <c r="M78" s="7">
        <v>65.099999999999994</v>
      </c>
      <c r="N78" s="7">
        <v>69.09</v>
      </c>
      <c r="O78" s="10">
        <v>-4.9599999999999998E-2</v>
      </c>
      <c r="P78" s="8">
        <f t="shared" si="0"/>
        <v>69.09</v>
      </c>
    </row>
    <row r="79" spans="1:16" ht="15">
      <c r="A79" s="6" t="s">
        <v>17</v>
      </c>
      <c r="B79" s="6" t="s">
        <v>18</v>
      </c>
      <c r="C79" s="6" t="s">
        <v>860</v>
      </c>
      <c r="D79" s="6" t="s">
        <v>861</v>
      </c>
      <c r="E79" s="7">
        <v>27.6</v>
      </c>
      <c r="F79" s="7">
        <v>27.8</v>
      </c>
      <c r="G79" s="7">
        <v>28.95</v>
      </c>
      <c r="H79" s="7">
        <v>27.35</v>
      </c>
      <c r="I79" s="7">
        <v>28.85</v>
      </c>
      <c r="J79" s="7">
        <v>4642500</v>
      </c>
      <c r="K79" s="7">
        <v>164000</v>
      </c>
      <c r="L79" s="7">
        <v>49.8</v>
      </c>
      <c r="M79" s="7">
        <v>27.05</v>
      </c>
      <c r="N79" s="7">
        <v>28.11</v>
      </c>
      <c r="O79" s="10">
        <v>4.53E-2</v>
      </c>
      <c r="P79" s="8">
        <f t="shared" si="0"/>
        <v>28.110000000000003</v>
      </c>
    </row>
    <row r="80" spans="1:16" ht="15">
      <c r="A80" s="6" t="s">
        <v>17</v>
      </c>
      <c r="B80" s="6" t="s">
        <v>18</v>
      </c>
      <c r="C80" s="6" t="s">
        <v>409</v>
      </c>
      <c r="D80" s="6" t="s">
        <v>410</v>
      </c>
      <c r="E80" s="7">
        <v>117.05</v>
      </c>
      <c r="F80" s="7">
        <v>118</v>
      </c>
      <c r="G80" s="7">
        <v>120.5</v>
      </c>
      <c r="H80" s="7">
        <v>115</v>
      </c>
      <c r="I80" s="7">
        <v>116.85</v>
      </c>
      <c r="J80" s="7">
        <v>4557975</v>
      </c>
      <c r="K80" s="7">
        <v>38500</v>
      </c>
      <c r="L80" s="7">
        <v>388.05</v>
      </c>
      <c r="M80" s="7">
        <v>112.05</v>
      </c>
      <c r="N80" s="7">
        <v>117.48</v>
      </c>
      <c r="O80" s="10">
        <v>-1.6999999999999999E-3</v>
      </c>
      <c r="P80" s="8">
        <f t="shared" si="0"/>
        <v>117.47999999999999</v>
      </c>
    </row>
    <row r="81" spans="1:16" ht="15">
      <c r="A81" s="6" t="s">
        <v>17</v>
      </c>
      <c r="B81" s="6" t="s">
        <v>18</v>
      </c>
      <c r="C81" s="6" t="s">
        <v>453</v>
      </c>
      <c r="D81" s="6" t="s">
        <v>454</v>
      </c>
      <c r="E81" s="7">
        <v>68.650000000000006</v>
      </c>
      <c r="F81" s="7">
        <v>58.4</v>
      </c>
      <c r="G81" s="7">
        <v>66</v>
      </c>
      <c r="H81" s="7">
        <v>55</v>
      </c>
      <c r="I81" s="7">
        <v>57.3</v>
      </c>
      <c r="J81" s="7">
        <v>4534560</v>
      </c>
      <c r="K81" s="7">
        <v>76800</v>
      </c>
      <c r="L81" s="7">
        <v>153.9</v>
      </c>
      <c r="M81" s="7">
        <v>55</v>
      </c>
      <c r="N81" s="7">
        <v>61.07</v>
      </c>
      <c r="O81" s="10">
        <v>-0.1653</v>
      </c>
      <c r="P81" s="8">
        <f t="shared" si="0"/>
        <v>61.070000000000007</v>
      </c>
    </row>
    <row r="82" spans="1:16" ht="15">
      <c r="A82" s="6" t="s">
        <v>17</v>
      </c>
      <c r="B82" s="6" t="s">
        <v>18</v>
      </c>
      <c r="C82" s="6" t="s">
        <v>194</v>
      </c>
      <c r="D82" s="6" t="s">
        <v>195</v>
      </c>
      <c r="E82" s="7">
        <v>141.05000000000001</v>
      </c>
      <c r="F82" s="7">
        <v>141.05000000000001</v>
      </c>
      <c r="G82" s="7">
        <v>147.9</v>
      </c>
      <c r="H82" s="7">
        <v>141.05000000000001</v>
      </c>
      <c r="I82" s="7">
        <v>147.19999999999999</v>
      </c>
      <c r="J82" s="7">
        <v>4516890</v>
      </c>
      <c r="K82" s="7">
        <v>31200</v>
      </c>
      <c r="L82" s="7">
        <v>374.8</v>
      </c>
      <c r="M82" s="7">
        <v>132</v>
      </c>
      <c r="N82" s="7">
        <v>143.65</v>
      </c>
      <c r="O82" s="10">
        <v>4.36E-2</v>
      </c>
      <c r="P82" s="8">
        <f t="shared" si="0"/>
        <v>143.65</v>
      </c>
    </row>
    <row r="83" spans="1:16" ht="15">
      <c r="A83" s="6" t="s">
        <v>17</v>
      </c>
      <c r="B83" s="6" t="s">
        <v>18</v>
      </c>
      <c r="C83" s="6" t="s">
        <v>257</v>
      </c>
      <c r="D83" s="6" t="s">
        <v>258</v>
      </c>
      <c r="E83" s="7">
        <v>86.7</v>
      </c>
      <c r="F83" s="7">
        <v>87.5</v>
      </c>
      <c r="G83" s="7">
        <v>90.6</v>
      </c>
      <c r="H83" s="7">
        <v>86</v>
      </c>
      <c r="I83" s="7">
        <v>90.55</v>
      </c>
      <c r="J83" s="7">
        <v>4407750</v>
      </c>
      <c r="K83" s="7">
        <v>50000</v>
      </c>
      <c r="L83" s="7">
        <v>173</v>
      </c>
      <c r="M83" s="7">
        <v>82</v>
      </c>
      <c r="N83" s="7">
        <v>88.27</v>
      </c>
      <c r="O83" s="10">
        <v>4.4400000000000002E-2</v>
      </c>
      <c r="P83" s="8">
        <f t="shared" si="0"/>
        <v>88.27</v>
      </c>
    </row>
    <row r="84" spans="1:16" ht="15">
      <c r="A84" s="6" t="s">
        <v>17</v>
      </c>
      <c r="B84" s="6" t="s">
        <v>18</v>
      </c>
      <c r="C84" s="6" t="s">
        <v>792</v>
      </c>
      <c r="D84" s="6" t="s">
        <v>793</v>
      </c>
      <c r="E84" s="7">
        <v>86.15</v>
      </c>
      <c r="F84" s="7">
        <v>88.5</v>
      </c>
      <c r="G84" s="7">
        <v>101</v>
      </c>
      <c r="H84" s="7">
        <v>86</v>
      </c>
      <c r="I84" s="7">
        <v>99.7</v>
      </c>
      <c r="J84" s="7">
        <v>4314250</v>
      </c>
      <c r="K84" s="7">
        <v>45500</v>
      </c>
      <c r="L84" s="7">
        <v>216</v>
      </c>
      <c r="M84" s="7">
        <v>86</v>
      </c>
      <c r="N84" s="7">
        <v>92.27</v>
      </c>
      <c r="O84" s="10">
        <v>0.1573</v>
      </c>
      <c r="P84" s="8">
        <f t="shared" si="0"/>
        <v>92.27</v>
      </c>
    </row>
    <row r="85" spans="1:16" ht="15">
      <c r="A85" s="6" t="s">
        <v>17</v>
      </c>
      <c r="B85" s="6" t="s">
        <v>35</v>
      </c>
      <c r="C85" s="6" t="s">
        <v>916</v>
      </c>
      <c r="D85" s="6" t="s">
        <v>917</v>
      </c>
      <c r="E85" s="7">
        <v>223.65</v>
      </c>
      <c r="F85" s="7">
        <v>221</v>
      </c>
      <c r="G85" s="7">
        <v>224.45</v>
      </c>
      <c r="H85" s="7">
        <v>216</v>
      </c>
      <c r="I85" s="7">
        <v>219.05</v>
      </c>
      <c r="J85" s="7">
        <v>4228160</v>
      </c>
      <c r="K85" s="7">
        <v>19200</v>
      </c>
      <c r="L85" s="7">
        <v>307.89999999999998</v>
      </c>
      <c r="M85" s="7">
        <v>111.95</v>
      </c>
      <c r="N85" s="7">
        <v>220.83</v>
      </c>
      <c r="O85" s="10">
        <v>-2.06E-2</v>
      </c>
      <c r="P85" s="8">
        <f t="shared" si="0"/>
        <v>220.82999999999998</v>
      </c>
    </row>
    <row r="86" spans="1:16" ht="15">
      <c r="A86" s="6" t="s">
        <v>17</v>
      </c>
      <c r="B86" s="6" t="s">
        <v>18</v>
      </c>
      <c r="C86" s="6" t="s">
        <v>866</v>
      </c>
      <c r="D86" s="6" t="s">
        <v>867</v>
      </c>
      <c r="E86" s="7">
        <v>49.55</v>
      </c>
      <c r="F86" s="7">
        <v>50</v>
      </c>
      <c r="G86" s="7">
        <v>52.5</v>
      </c>
      <c r="H86" s="7">
        <v>46.95</v>
      </c>
      <c r="I86" s="7">
        <v>52.5</v>
      </c>
      <c r="J86" s="7">
        <v>4167200</v>
      </c>
      <c r="K86" s="7">
        <v>86000</v>
      </c>
      <c r="L86" s="7">
        <v>98</v>
      </c>
      <c r="M86" s="7">
        <v>46.95</v>
      </c>
      <c r="N86" s="7">
        <v>50.3</v>
      </c>
      <c r="O86" s="10">
        <v>5.9499999999999997E-2</v>
      </c>
      <c r="P86" s="8">
        <f t="shared" si="0"/>
        <v>50.3</v>
      </c>
    </row>
    <row r="87" spans="1:16" ht="15">
      <c r="A87" s="6" t="s">
        <v>17</v>
      </c>
      <c r="B87" s="6" t="s">
        <v>18</v>
      </c>
      <c r="C87" s="6" t="s">
        <v>469</v>
      </c>
      <c r="D87" s="6" t="s">
        <v>470</v>
      </c>
      <c r="E87" s="7">
        <v>179.15</v>
      </c>
      <c r="F87" s="7">
        <v>173</v>
      </c>
      <c r="G87" s="7">
        <v>179</v>
      </c>
      <c r="H87" s="7">
        <v>170</v>
      </c>
      <c r="I87" s="7">
        <v>174</v>
      </c>
      <c r="J87" s="7">
        <v>4006500</v>
      </c>
      <c r="K87" s="7">
        <v>23000</v>
      </c>
      <c r="L87" s="7">
        <v>220</v>
      </c>
      <c r="M87" s="7">
        <v>73.5</v>
      </c>
      <c r="N87" s="7">
        <v>175.03</v>
      </c>
      <c r="O87" s="10">
        <v>-2.87E-2</v>
      </c>
      <c r="P87" s="8">
        <f t="shared" si="0"/>
        <v>175.03</v>
      </c>
    </row>
    <row r="88" spans="1:16" ht="15">
      <c r="A88" s="6" t="s">
        <v>17</v>
      </c>
      <c r="B88" s="6" t="s">
        <v>18</v>
      </c>
      <c r="C88" s="6" t="s">
        <v>387</v>
      </c>
      <c r="D88" s="6" t="s">
        <v>388</v>
      </c>
      <c r="E88" s="7">
        <v>144.94999999999999</v>
      </c>
      <c r="F88" s="7">
        <v>144.94999999999999</v>
      </c>
      <c r="G88" s="7">
        <v>152</v>
      </c>
      <c r="H88" s="7">
        <v>144.05000000000001</v>
      </c>
      <c r="I88" s="7">
        <v>146.5</v>
      </c>
      <c r="J88" s="7">
        <v>4002650</v>
      </c>
      <c r="K88" s="7">
        <v>27000</v>
      </c>
      <c r="L88" s="7">
        <v>183</v>
      </c>
      <c r="M88" s="7">
        <v>106.35</v>
      </c>
      <c r="N88" s="7">
        <v>146.49</v>
      </c>
      <c r="O88" s="10">
        <v>1.0699999999999999E-2</v>
      </c>
      <c r="P88" s="8">
        <f t="shared" si="0"/>
        <v>146.49</v>
      </c>
    </row>
    <row r="89" spans="1:16" ht="15">
      <c r="A89" s="6" t="s">
        <v>17</v>
      </c>
      <c r="B89" s="6" t="s">
        <v>18</v>
      </c>
      <c r="C89" s="6" t="s">
        <v>936</v>
      </c>
      <c r="D89" s="6" t="s">
        <v>937</v>
      </c>
      <c r="E89" s="7">
        <v>560.5</v>
      </c>
      <c r="F89" s="7">
        <v>560</v>
      </c>
      <c r="G89" s="7">
        <v>567</v>
      </c>
      <c r="H89" s="7">
        <v>556.5</v>
      </c>
      <c r="I89" s="7">
        <v>557.9</v>
      </c>
      <c r="J89" s="7">
        <v>3870360</v>
      </c>
      <c r="K89" s="7">
        <v>6900</v>
      </c>
      <c r="L89" s="7">
        <v>701</v>
      </c>
      <c r="M89" s="7">
        <v>460</v>
      </c>
      <c r="N89" s="7">
        <v>560.38</v>
      </c>
      <c r="O89" s="10">
        <v>-4.5999999999999999E-3</v>
      </c>
      <c r="P89" s="8">
        <f t="shared" si="0"/>
        <v>560.38</v>
      </c>
    </row>
    <row r="90" spans="1:16" ht="15">
      <c r="A90" s="6" t="s">
        <v>17</v>
      </c>
      <c r="B90" s="6" t="s">
        <v>18</v>
      </c>
      <c r="C90" s="6" t="s">
        <v>229</v>
      </c>
      <c r="D90" s="6" t="s">
        <v>230</v>
      </c>
      <c r="E90" s="7">
        <v>138.15</v>
      </c>
      <c r="F90" s="7">
        <v>135.05000000000001</v>
      </c>
      <c r="G90" s="7">
        <v>139.9</v>
      </c>
      <c r="H90" s="7">
        <v>133.5</v>
      </c>
      <c r="I90" s="7">
        <v>135.94999999999999</v>
      </c>
      <c r="J90" s="7">
        <v>3861925</v>
      </c>
      <c r="K90" s="7">
        <v>28500</v>
      </c>
      <c r="L90" s="7">
        <v>312.64999999999998</v>
      </c>
      <c r="M90" s="7">
        <v>85.4</v>
      </c>
      <c r="N90" s="7">
        <v>136.51</v>
      </c>
      <c r="O90" s="10">
        <v>-1.5900000000000001E-2</v>
      </c>
      <c r="P90" s="8">
        <f t="shared" si="0"/>
        <v>136.51</v>
      </c>
    </row>
    <row r="91" spans="1:16" ht="15">
      <c r="A91" s="6" t="s">
        <v>17</v>
      </c>
      <c r="B91" s="6" t="s">
        <v>18</v>
      </c>
      <c r="C91" s="6" t="s">
        <v>662</v>
      </c>
      <c r="D91" s="6" t="s">
        <v>663</v>
      </c>
      <c r="E91" s="7">
        <v>47.15</v>
      </c>
      <c r="F91" s="7">
        <v>45.3</v>
      </c>
      <c r="G91" s="7">
        <v>48.7</v>
      </c>
      <c r="H91" s="7">
        <v>45.3</v>
      </c>
      <c r="I91" s="7">
        <v>46.5</v>
      </c>
      <c r="J91" s="7">
        <v>3818950</v>
      </c>
      <c r="K91" s="7">
        <v>82000</v>
      </c>
      <c r="L91" s="7">
        <v>120</v>
      </c>
      <c r="M91" s="7">
        <v>41.6</v>
      </c>
      <c r="N91" s="7">
        <v>46.59</v>
      </c>
      <c r="O91" s="10">
        <v>-1.38E-2</v>
      </c>
      <c r="P91" s="8">
        <f t="shared" si="0"/>
        <v>46.589999999999996</v>
      </c>
    </row>
    <row r="92" spans="1:16" ht="15">
      <c r="A92" s="6" t="s">
        <v>17</v>
      </c>
      <c r="B92" s="6" t="s">
        <v>18</v>
      </c>
      <c r="C92" s="6" t="s">
        <v>449</v>
      </c>
      <c r="D92" s="6" t="s">
        <v>450</v>
      </c>
      <c r="E92" s="7">
        <v>179.2</v>
      </c>
      <c r="F92" s="7">
        <v>179.95</v>
      </c>
      <c r="G92" s="7">
        <v>185</v>
      </c>
      <c r="H92" s="7">
        <v>177</v>
      </c>
      <c r="I92" s="7">
        <v>184.95</v>
      </c>
      <c r="J92" s="7">
        <v>3683738</v>
      </c>
      <c r="K92" s="7">
        <v>20250</v>
      </c>
      <c r="L92" s="7">
        <v>185</v>
      </c>
      <c r="M92" s="7">
        <v>95.2</v>
      </c>
      <c r="N92" s="7">
        <v>181.22</v>
      </c>
      <c r="O92" s="10">
        <v>3.2099999999999997E-2</v>
      </c>
      <c r="P92" s="8">
        <f t="shared" si="0"/>
        <v>181.21999999999997</v>
      </c>
    </row>
    <row r="93" spans="1:16" ht="15">
      <c r="A93" s="6" t="s">
        <v>17</v>
      </c>
      <c r="B93" s="6" t="s">
        <v>18</v>
      </c>
      <c r="C93" s="6" t="s">
        <v>31</v>
      </c>
      <c r="D93" s="6" t="s">
        <v>32</v>
      </c>
      <c r="E93" s="7">
        <v>321.7</v>
      </c>
      <c r="F93" s="7">
        <v>317</v>
      </c>
      <c r="G93" s="7">
        <v>325.8</v>
      </c>
      <c r="H93" s="7">
        <v>314</v>
      </c>
      <c r="I93" s="7">
        <v>322.35000000000002</v>
      </c>
      <c r="J93" s="7">
        <v>3665100</v>
      </c>
      <c r="K93" s="7">
        <v>11500</v>
      </c>
      <c r="L93" s="7">
        <v>378</v>
      </c>
      <c r="M93" s="7">
        <v>180</v>
      </c>
      <c r="N93" s="7">
        <v>320.17</v>
      </c>
      <c r="O93" s="10">
        <v>2E-3</v>
      </c>
      <c r="P93" s="8">
        <f t="shared" si="0"/>
        <v>320.16999999999996</v>
      </c>
    </row>
    <row r="94" spans="1:16" ht="15">
      <c r="A94" s="6" t="s">
        <v>17</v>
      </c>
      <c r="B94" s="6" t="s">
        <v>18</v>
      </c>
      <c r="C94" s="6" t="s">
        <v>245</v>
      </c>
      <c r="D94" s="6" t="s">
        <v>246</v>
      </c>
      <c r="E94" s="7">
        <v>94.25</v>
      </c>
      <c r="F94" s="7">
        <v>94.05</v>
      </c>
      <c r="G94" s="7">
        <v>97</v>
      </c>
      <c r="H94" s="7">
        <v>90</v>
      </c>
      <c r="I94" s="7">
        <v>92</v>
      </c>
      <c r="J94" s="7">
        <v>3589320</v>
      </c>
      <c r="K94" s="7">
        <v>38400</v>
      </c>
      <c r="L94" s="7">
        <v>153</v>
      </c>
      <c r="M94" s="7">
        <v>90</v>
      </c>
      <c r="N94" s="7">
        <v>93.46</v>
      </c>
      <c r="O94" s="10">
        <v>-2.3900000000000001E-2</v>
      </c>
      <c r="P94" s="8">
        <f t="shared" si="0"/>
        <v>93.460000000000008</v>
      </c>
    </row>
    <row r="95" spans="1:16" ht="15">
      <c r="A95" s="6" t="s">
        <v>17</v>
      </c>
      <c r="B95" s="6" t="s">
        <v>18</v>
      </c>
      <c r="C95" s="6" t="s">
        <v>626</v>
      </c>
      <c r="D95" s="6" t="s">
        <v>627</v>
      </c>
      <c r="E95" s="7">
        <v>100</v>
      </c>
      <c r="F95" s="7">
        <v>104</v>
      </c>
      <c r="G95" s="7">
        <v>104</v>
      </c>
      <c r="H95" s="7">
        <v>96</v>
      </c>
      <c r="I95" s="7">
        <v>97.45</v>
      </c>
      <c r="J95" s="7">
        <v>3507400</v>
      </c>
      <c r="K95" s="7">
        <v>35000</v>
      </c>
      <c r="L95" s="7">
        <v>148.75</v>
      </c>
      <c r="M95" s="7">
        <v>91</v>
      </c>
      <c r="N95" s="7">
        <v>100.29</v>
      </c>
      <c r="O95" s="10">
        <v>-2.5499999999999998E-2</v>
      </c>
      <c r="P95" s="8">
        <f t="shared" si="0"/>
        <v>100.28999999999999</v>
      </c>
    </row>
    <row r="96" spans="1:16" ht="15">
      <c r="A96" s="6" t="s">
        <v>17</v>
      </c>
      <c r="B96" s="6" t="s">
        <v>18</v>
      </c>
      <c r="C96" s="6" t="s">
        <v>443</v>
      </c>
      <c r="D96" s="6" t="s">
        <v>444</v>
      </c>
      <c r="E96" s="7">
        <v>133</v>
      </c>
      <c r="F96" s="7">
        <v>130</v>
      </c>
      <c r="G96" s="7">
        <v>141.30000000000001</v>
      </c>
      <c r="H96" s="7">
        <v>130</v>
      </c>
      <c r="I96" s="7">
        <v>136.25</v>
      </c>
      <c r="J96" s="7">
        <v>3501600</v>
      </c>
      <c r="K96" s="7">
        <v>26000</v>
      </c>
      <c r="L96" s="7">
        <v>212</v>
      </c>
      <c r="M96" s="7">
        <v>108.6</v>
      </c>
      <c r="N96" s="7">
        <v>134.11000000000001</v>
      </c>
      <c r="O96" s="10">
        <v>2.4400000000000002E-2</v>
      </c>
      <c r="P96" s="8">
        <f t="shared" si="0"/>
        <v>134.10999999999999</v>
      </c>
    </row>
    <row r="97" spans="1:16" ht="15">
      <c r="A97" s="6" t="s">
        <v>17</v>
      </c>
      <c r="B97" s="6" t="s">
        <v>18</v>
      </c>
      <c r="C97" s="6" t="s">
        <v>612</v>
      </c>
      <c r="D97" s="6" t="s">
        <v>613</v>
      </c>
      <c r="E97" s="7">
        <v>264.95</v>
      </c>
      <c r="F97" s="7">
        <v>286.89999999999998</v>
      </c>
      <c r="G97" s="7">
        <v>286.89999999999998</v>
      </c>
      <c r="H97" s="7">
        <v>260</v>
      </c>
      <c r="I97" s="7">
        <v>269</v>
      </c>
      <c r="J97" s="7">
        <v>3434760</v>
      </c>
      <c r="K97" s="7">
        <v>12800</v>
      </c>
      <c r="L97" s="7">
        <v>362</v>
      </c>
      <c r="M97" s="7">
        <v>105.1</v>
      </c>
      <c r="N97" s="7">
        <v>273.55</v>
      </c>
      <c r="O97" s="10">
        <v>1.5299999999999999E-2</v>
      </c>
      <c r="P97" s="8">
        <f t="shared" si="0"/>
        <v>273.55</v>
      </c>
    </row>
    <row r="98" spans="1:16" ht="15">
      <c r="A98" s="6" t="s">
        <v>17</v>
      </c>
      <c r="B98" s="6" t="s">
        <v>18</v>
      </c>
      <c r="C98" s="6" t="s">
        <v>76</v>
      </c>
      <c r="D98" s="6" t="s">
        <v>77</v>
      </c>
      <c r="E98" s="7">
        <v>21</v>
      </c>
      <c r="F98" s="7">
        <v>20</v>
      </c>
      <c r="G98" s="7">
        <v>21.45</v>
      </c>
      <c r="H98" s="7">
        <v>20</v>
      </c>
      <c r="I98" s="7">
        <v>20.95</v>
      </c>
      <c r="J98" s="7">
        <v>3414750</v>
      </c>
      <c r="K98" s="7">
        <v>165000</v>
      </c>
      <c r="L98" s="7">
        <v>29.05</v>
      </c>
      <c r="M98" s="7">
        <v>19.45</v>
      </c>
      <c r="N98" s="7">
        <v>20.68</v>
      </c>
      <c r="O98" s="10">
        <v>-2.3999999999999998E-3</v>
      </c>
      <c r="P98" s="8">
        <f t="shared" si="0"/>
        <v>20.68</v>
      </c>
    </row>
    <row r="99" spans="1:16" ht="15">
      <c r="A99" s="6" t="s">
        <v>17</v>
      </c>
      <c r="B99" s="6" t="s">
        <v>18</v>
      </c>
      <c r="C99" s="6" t="s">
        <v>48</v>
      </c>
      <c r="D99" s="6" t="s">
        <v>49</v>
      </c>
      <c r="E99" s="7">
        <v>99.15</v>
      </c>
      <c r="F99" s="7">
        <v>95.55</v>
      </c>
      <c r="G99" s="7">
        <v>99.95</v>
      </c>
      <c r="H99" s="7">
        <v>95.05</v>
      </c>
      <c r="I99" s="7">
        <v>95.5</v>
      </c>
      <c r="J99" s="7">
        <v>3369900</v>
      </c>
      <c r="K99" s="7">
        <v>34800</v>
      </c>
      <c r="L99" s="7">
        <v>174.05</v>
      </c>
      <c r="M99" s="7">
        <v>81</v>
      </c>
      <c r="N99" s="7">
        <v>97.04</v>
      </c>
      <c r="O99" s="10">
        <v>-3.6799999999999999E-2</v>
      </c>
      <c r="P99" s="8">
        <f t="shared" si="0"/>
        <v>97.039999999999992</v>
      </c>
    </row>
    <row r="100" spans="1:16" ht="15">
      <c r="A100" s="6" t="s">
        <v>17</v>
      </c>
      <c r="B100" s="6" t="s">
        <v>18</v>
      </c>
      <c r="C100" s="6" t="s">
        <v>622</v>
      </c>
      <c r="D100" s="6" t="s">
        <v>623</v>
      </c>
      <c r="E100" s="7">
        <v>327.14999999999998</v>
      </c>
      <c r="F100" s="7">
        <v>335</v>
      </c>
      <c r="G100" s="7">
        <v>337</v>
      </c>
      <c r="H100" s="7">
        <v>322.3</v>
      </c>
      <c r="I100" s="7">
        <v>324.75</v>
      </c>
      <c r="J100" s="7">
        <v>3200888</v>
      </c>
      <c r="K100" s="7">
        <v>9750</v>
      </c>
      <c r="L100" s="7">
        <v>587.95000000000005</v>
      </c>
      <c r="M100" s="7">
        <v>119.55</v>
      </c>
      <c r="N100" s="7">
        <v>329.24</v>
      </c>
      <c r="O100" s="10">
        <v>-7.3000000000000001E-3</v>
      </c>
      <c r="P100" s="8">
        <f t="shared" si="0"/>
        <v>329.24</v>
      </c>
    </row>
    <row r="101" spans="1:16" ht="15">
      <c r="A101" s="6" t="s">
        <v>17</v>
      </c>
      <c r="B101" s="6" t="s">
        <v>18</v>
      </c>
      <c r="C101" s="6" t="s">
        <v>812</v>
      </c>
      <c r="D101" s="6" t="s">
        <v>813</v>
      </c>
      <c r="E101" s="7">
        <v>156.4</v>
      </c>
      <c r="F101" s="7">
        <v>156.4</v>
      </c>
      <c r="G101" s="7">
        <v>160</v>
      </c>
      <c r="H101" s="7">
        <v>156.4</v>
      </c>
      <c r="I101" s="7">
        <v>158.69999999999999</v>
      </c>
      <c r="J101" s="7">
        <v>3163350</v>
      </c>
      <c r="K101" s="7">
        <v>20000</v>
      </c>
      <c r="L101" s="7">
        <v>240.05</v>
      </c>
      <c r="M101" s="7">
        <v>100</v>
      </c>
      <c r="N101" s="7">
        <v>157.58000000000001</v>
      </c>
      <c r="O101" s="10">
        <v>1.47E-2</v>
      </c>
      <c r="P101" s="8">
        <f t="shared" si="0"/>
        <v>157.58000000000001</v>
      </c>
    </row>
    <row r="102" spans="1:16" ht="15">
      <c r="A102" s="6" t="s">
        <v>17</v>
      </c>
      <c r="B102" s="6" t="s">
        <v>35</v>
      </c>
      <c r="C102" s="6" t="s">
        <v>88</v>
      </c>
      <c r="D102" s="6" t="s">
        <v>89</v>
      </c>
      <c r="E102" s="7">
        <v>35.35</v>
      </c>
      <c r="F102" s="7">
        <v>33.6</v>
      </c>
      <c r="G102" s="7">
        <v>33.6</v>
      </c>
      <c r="H102" s="7">
        <v>33.6</v>
      </c>
      <c r="I102" s="7">
        <v>33.6</v>
      </c>
      <c r="J102" s="7">
        <v>3158400</v>
      </c>
      <c r="K102" s="7">
        <v>94000</v>
      </c>
      <c r="L102" s="7">
        <v>45.6</v>
      </c>
      <c r="M102" s="7">
        <v>33.6</v>
      </c>
      <c r="N102" s="7">
        <v>33.950000000000003</v>
      </c>
      <c r="O102" s="10">
        <v>-4.9500000000000002E-2</v>
      </c>
      <c r="P102" s="8">
        <f t="shared" si="0"/>
        <v>33.950000000000003</v>
      </c>
    </row>
    <row r="103" spans="1:16" ht="15">
      <c r="A103" s="6" t="s">
        <v>17</v>
      </c>
      <c r="B103" s="6" t="s">
        <v>18</v>
      </c>
      <c r="C103" s="6" t="s">
        <v>357</v>
      </c>
      <c r="D103" s="6" t="s">
        <v>358</v>
      </c>
      <c r="E103" s="7">
        <v>217.05</v>
      </c>
      <c r="F103" s="7">
        <v>220</v>
      </c>
      <c r="G103" s="7">
        <v>220</v>
      </c>
      <c r="H103" s="7">
        <v>213.3</v>
      </c>
      <c r="I103" s="7">
        <v>214.2</v>
      </c>
      <c r="J103" s="7">
        <v>3130590</v>
      </c>
      <c r="K103" s="7">
        <v>14400</v>
      </c>
      <c r="L103" s="7">
        <v>261.95</v>
      </c>
      <c r="M103" s="7">
        <v>120</v>
      </c>
      <c r="N103" s="7">
        <v>216.91</v>
      </c>
      <c r="O103" s="10">
        <v>-1.3100000000000001E-2</v>
      </c>
      <c r="P103" s="8">
        <f t="shared" si="0"/>
        <v>216.91</v>
      </c>
    </row>
    <row r="104" spans="1:16" ht="15">
      <c r="A104" s="6" t="s">
        <v>17</v>
      </c>
      <c r="B104" s="6" t="s">
        <v>18</v>
      </c>
      <c r="C104" s="6" t="s">
        <v>383</v>
      </c>
      <c r="D104" s="6" t="s">
        <v>384</v>
      </c>
      <c r="E104" s="7">
        <v>83.15</v>
      </c>
      <c r="F104" s="7">
        <v>83.15</v>
      </c>
      <c r="G104" s="7">
        <v>88.3</v>
      </c>
      <c r="H104" s="7">
        <v>83.15</v>
      </c>
      <c r="I104" s="7">
        <v>86.3</v>
      </c>
      <c r="J104" s="7">
        <v>3121350</v>
      </c>
      <c r="K104" s="7">
        <v>36500</v>
      </c>
      <c r="L104" s="7">
        <v>318.14999999999998</v>
      </c>
      <c r="M104" s="7">
        <v>80.849999999999994</v>
      </c>
      <c r="N104" s="7">
        <v>84.81</v>
      </c>
      <c r="O104" s="10">
        <v>3.7900000000000003E-2</v>
      </c>
      <c r="P104" s="8">
        <f t="shared" si="0"/>
        <v>84.81</v>
      </c>
    </row>
    <row r="105" spans="1:16" ht="15">
      <c r="A105" s="6" t="s">
        <v>17</v>
      </c>
      <c r="B105" s="6" t="s">
        <v>18</v>
      </c>
      <c r="C105" s="6" t="s">
        <v>642</v>
      </c>
      <c r="D105" s="6" t="s">
        <v>643</v>
      </c>
      <c r="E105" s="7">
        <v>82.5</v>
      </c>
      <c r="F105" s="7">
        <v>83.95</v>
      </c>
      <c r="G105" s="7">
        <v>85.3</v>
      </c>
      <c r="H105" s="7">
        <v>80</v>
      </c>
      <c r="I105" s="7">
        <v>80</v>
      </c>
      <c r="J105" s="7">
        <v>3118950</v>
      </c>
      <c r="K105" s="7">
        <v>37500</v>
      </c>
      <c r="L105" s="7">
        <v>101.9</v>
      </c>
      <c r="M105" s="7">
        <v>70.05</v>
      </c>
      <c r="N105" s="7">
        <v>82.35</v>
      </c>
      <c r="O105" s="10">
        <v>-3.0300000000000001E-2</v>
      </c>
      <c r="P105" s="8">
        <f t="shared" si="0"/>
        <v>82.35</v>
      </c>
    </row>
    <row r="106" spans="1:16" ht="15">
      <c r="A106" s="6" t="s">
        <v>17</v>
      </c>
      <c r="B106" s="6" t="s">
        <v>18</v>
      </c>
      <c r="C106" s="6" t="s">
        <v>126</v>
      </c>
      <c r="D106" s="6" t="s">
        <v>127</v>
      </c>
      <c r="E106" s="7">
        <v>263.64999999999998</v>
      </c>
      <c r="F106" s="7">
        <v>263.55</v>
      </c>
      <c r="G106" s="7">
        <v>263.64999999999998</v>
      </c>
      <c r="H106" s="7">
        <v>255</v>
      </c>
      <c r="I106" s="7">
        <v>255.7</v>
      </c>
      <c r="J106" s="7">
        <v>3095970</v>
      </c>
      <c r="K106" s="7">
        <v>12000</v>
      </c>
      <c r="L106" s="7">
        <v>509.8</v>
      </c>
      <c r="M106" s="7">
        <v>223.15</v>
      </c>
      <c r="N106" s="7">
        <v>260.31</v>
      </c>
      <c r="O106" s="10">
        <v>-3.0200000000000001E-2</v>
      </c>
      <c r="P106" s="8">
        <f t="shared" si="0"/>
        <v>260.31</v>
      </c>
    </row>
    <row r="107" spans="1:16" ht="15">
      <c r="A107" s="6" t="s">
        <v>17</v>
      </c>
      <c r="B107" s="6" t="s">
        <v>18</v>
      </c>
      <c r="C107" s="6" t="s">
        <v>734</v>
      </c>
      <c r="D107" s="6" t="s">
        <v>735</v>
      </c>
      <c r="E107" s="7">
        <v>116.95</v>
      </c>
      <c r="F107" s="7">
        <v>113</v>
      </c>
      <c r="G107" s="7">
        <v>118.5</v>
      </c>
      <c r="H107" s="7">
        <v>111.15</v>
      </c>
      <c r="I107" s="7">
        <v>111.55</v>
      </c>
      <c r="J107" s="7">
        <v>2952150</v>
      </c>
      <c r="K107" s="7">
        <v>26000</v>
      </c>
      <c r="L107" s="7">
        <v>148.5</v>
      </c>
      <c r="M107" s="7">
        <v>111.15</v>
      </c>
      <c r="N107" s="7">
        <v>114.23</v>
      </c>
      <c r="O107" s="10">
        <v>-4.6199999999999998E-2</v>
      </c>
      <c r="P107" s="8">
        <f t="shared" si="0"/>
        <v>114.22999999999999</v>
      </c>
    </row>
    <row r="108" spans="1:16" ht="15">
      <c r="A108" s="6" t="s">
        <v>17</v>
      </c>
      <c r="B108" s="6" t="s">
        <v>18</v>
      </c>
      <c r="C108" s="6" t="s">
        <v>114</v>
      </c>
      <c r="D108" s="6" t="s">
        <v>115</v>
      </c>
      <c r="E108" s="7">
        <v>91.2</v>
      </c>
      <c r="F108" s="7">
        <v>90.85</v>
      </c>
      <c r="G108" s="7">
        <v>91.75</v>
      </c>
      <c r="H108" s="7">
        <v>88.5</v>
      </c>
      <c r="I108" s="7">
        <v>90.45</v>
      </c>
      <c r="J108" s="7">
        <v>2934800</v>
      </c>
      <c r="K108" s="7">
        <v>32800</v>
      </c>
      <c r="L108" s="7">
        <v>223.45</v>
      </c>
      <c r="M108" s="7">
        <v>88.2</v>
      </c>
      <c r="N108" s="7">
        <v>90.55</v>
      </c>
      <c r="O108" s="10">
        <v>-8.2000000000000007E-3</v>
      </c>
      <c r="P108" s="8">
        <f t="shared" si="0"/>
        <v>90.55</v>
      </c>
    </row>
    <row r="109" spans="1:16" ht="15">
      <c r="A109" s="6" t="s">
        <v>17</v>
      </c>
      <c r="B109" s="6" t="s">
        <v>18</v>
      </c>
      <c r="C109" s="6" t="s">
        <v>582</v>
      </c>
      <c r="D109" s="6" t="s">
        <v>583</v>
      </c>
      <c r="E109" s="7">
        <v>195.55</v>
      </c>
      <c r="F109" s="7">
        <v>194.45</v>
      </c>
      <c r="G109" s="7">
        <v>203</v>
      </c>
      <c r="H109" s="7">
        <v>194.45</v>
      </c>
      <c r="I109" s="7">
        <v>202.5</v>
      </c>
      <c r="J109" s="7">
        <v>2926020</v>
      </c>
      <c r="K109" s="7">
        <v>14700</v>
      </c>
      <c r="L109" s="7">
        <v>327.95</v>
      </c>
      <c r="M109" s="7">
        <v>165</v>
      </c>
      <c r="N109" s="7">
        <v>197.99</v>
      </c>
      <c r="O109" s="10">
        <v>3.5499999999999997E-2</v>
      </c>
      <c r="P109" s="8">
        <f t="shared" si="0"/>
        <v>197.99</v>
      </c>
    </row>
    <row r="110" spans="1:16" ht="15">
      <c r="A110" s="6" t="s">
        <v>17</v>
      </c>
      <c r="B110" s="6" t="s">
        <v>18</v>
      </c>
      <c r="C110" s="6" t="s">
        <v>174</v>
      </c>
      <c r="D110" s="6" t="s">
        <v>175</v>
      </c>
      <c r="E110" s="7">
        <v>205.65</v>
      </c>
      <c r="F110" s="7">
        <v>200</v>
      </c>
      <c r="G110" s="7">
        <v>200</v>
      </c>
      <c r="H110" s="7">
        <v>195.5</v>
      </c>
      <c r="I110" s="7">
        <v>195.5</v>
      </c>
      <c r="J110" s="7">
        <v>2876400</v>
      </c>
      <c r="K110" s="7">
        <v>14400</v>
      </c>
      <c r="L110" s="7">
        <v>274.05</v>
      </c>
      <c r="M110" s="7">
        <v>174.25</v>
      </c>
      <c r="N110" s="7">
        <v>199.33</v>
      </c>
      <c r="O110" s="10">
        <v>-4.9399999999999999E-2</v>
      </c>
      <c r="P110" s="8">
        <f t="shared" si="0"/>
        <v>199.32999999999998</v>
      </c>
    </row>
    <row r="111" spans="1:16" ht="15">
      <c r="A111" s="6" t="s">
        <v>17</v>
      </c>
      <c r="B111" s="6" t="s">
        <v>18</v>
      </c>
      <c r="C111" s="6" t="s">
        <v>648</v>
      </c>
      <c r="D111" s="6" t="s">
        <v>649</v>
      </c>
      <c r="E111" s="7">
        <v>234.95</v>
      </c>
      <c r="F111" s="7">
        <v>235</v>
      </c>
      <c r="G111" s="7">
        <v>243</v>
      </c>
      <c r="H111" s="7">
        <v>228</v>
      </c>
      <c r="I111" s="7">
        <v>239</v>
      </c>
      <c r="J111" s="7">
        <v>2833740</v>
      </c>
      <c r="K111" s="7">
        <v>12000</v>
      </c>
      <c r="L111" s="7">
        <v>384.9</v>
      </c>
      <c r="M111" s="7">
        <v>215.2</v>
      </c>
      <c r="N111" s="7">
        <v>235.99</v>
      </c>
      <c r="O111" s="10">
        <v>1.72E-2</v>
      </c>
      <c r="P111" s="8">
        <f t="shared" si="0"/>
        <v>235.99</v>
      </c>
    </row>
    <row r="112" spans="1:16" ht="15">
      <c r="A112" s="6" t="s">
        <v>17</v>
      </c>
      <c r="B112" s="6" t="s">
        <v>35</v>
      </c>
      <c r="C112" s="6" t="s">
        <v>902</v>
      </c>
      <c r="D112" s="6" t="s">
        <v>903</v>
      </c>
      <c r="E112" s="7">
        <v>33.35</v>
      </c>
      <c r="F112" s="7">
        <v>34.799999999999997</v>
      </c>
      <c r="G112" s="7">
        <v>35</v>
      </c>
      <c r="H112" s="7">
        <v>34.799999999999997</v>
      </c>
      <c r="I112" s="7">
        <v>35</v>
      </c>
      <c r="J112" s="7">
        <v>2798000</v>
      </c>
      <c r="K112" s="7">
        <v>80000</v>
      </c>
      <c r="L112" s="7">
        <v>35</v>
      </c>
      <c r="M112" s="7">
        <v>16.5</v>
      </c>
      <c r="N112" s="7">
        <v>34.590000000000003</v>
      </c>
      <c r="O112" s="10">
        <v>4.9500000000000002E-2</v>
      </c>
      <c r="P112" s="8">
        <f t="shared" si="0"/>
        <v>34.589999999999996</v>
      </c>
    </row>
    <row r="113" spans="1:16" ht="15">
      <c r="A113" s="6" t="s">
        <v>17</v>
      </c>
      <c r="B113" s="6" t="s">
        <v>18</v>
      </c>
      <c r="C113" s="6" t="s">
        <v>259</v>
      </c>
      <c r="D113" s="6" t="s">
        <v>260</v>
      </c>
      <c r="E113" s="7">
        <v>153</v>
      </c>
      <c r="F113" s="7">
        <v>155</v>
      </c>
      <c r="G113" s="7">
        <v>158</v>
      </c>
      <c r="H113" s="7">
        <v>151.30000000000001</v>
      </c>
      <c r="I113" s="7">
        <v>155.05000000000001</v>
      </c>
      <c r="J113" s="7">
        <v>2786350</v>
      </c>
      <c r="K113" s="7">
        <v>18000</v>
      </c>
      <c r="L113" s="7">
        <v>267.89999999999998</v>
      </c>
      <c r="M113" s="7">
        <v>138</v>
      </c>
      <c r="N113" s="7">
        <v>154.47</v>
      </c>
      <c r="O113" s="10">
        <v>1.34E-2</v>
      </c>
      <c r="P113" s="8">
        <f t="shared" si="0"/>
        <v>154.46999999999997</v>
      </c>
    </row>
    <row r="114" spans="1:16" ht="15">
      <c r="A114" s="6" t="s">
        <v>17</v>
      </c>
      <c r="B114" s="6" t="s">
        <v>18</v>
      </c>
      <c r="C114" s="6" t="s">
        <v>908</v>
      </c>
      <c r="D114" s="6" t="s">
        <v>909</v>
      </c>
      <c r="E114" s="7">
        <v>142.15</v>
      </c>
      <c r="F114" s="7">
        <v>143</v>
      </c>
      <c r="G114" s="7">
        <v>144.85</v>
      </c>
      <c r="H114" s="7">
        <v>139.85</v>
      </c>
      <c r="I114" s="7">
        <v>140</v>
      </c>
      <c r="J114" s="7">
        <v>2691800</v>
      </c>
      <c r="K114" s="7">
        <v>19000</v>
      </c>
      <c r="L114" s="7">
        <v>208</v>
      </c>
      <c r="M114" s="7">
        <v>122</v>
      </c>
      <c r="N114" s="7">
        <v>141.97</v>
      </c>
      <c r="O114" s="10">
        <v>-1.5100000000000001E-2</v>
      </c>
      <c r="P114" s="8">
        <f t="shared" si="0"/>
        <v>141.97</v>
      </c>
    </row>
    <row r="115" spans="1:16" ht="15">
      <c r="A115" s="6" t="s">
        <v>17</v>
      </c>
      <c r="B115" s="6" t="s">
        <v>18</v>
      </c>
      <c r="C115" s="6" t="s">
        <v>160</v>
      </c>
      <c r="D115" s="6" t="s">
        <v>161</v>
      </c>
      <c r="E115" s="7">
        <v>102.8</v>
      </c>
      <c r="F115" s="7">
        <v>98.1</v>
      </c>
      <c r="G115" s="7">
        <v>112.85</v>
      </c>
      <c r="H115" s="7">
        <v>98.1</v>
      </c>
      <c r="I115" s="7">
        <v>112.85</v>
      </c>
      <c r="J115" s="7">
        <v>2627063</v>
      </c>
      <c r="K115" s="7">
        <v>24750</v>
      </c>
      <c r="L115" s="7">
        <v>183.9</v>
      </c>
      <c r="M115" s="7">
        <v>98.1</v>
      </c>
      <c r="N115" s="7">
        <v>104.94</v>
      </c>
      <c r="O115" s="10">
        <v>9.7799999999999998E-2</v>
      </c>
      <c r="P115" s="8">
        <f t="shared" si="0"/>
        <v>104.94000000000001</v>
      </c>
    </row>
    <row r="116" spans="1:16" ht="15">
      <c r="A116" s="6" t="s">
        <v>17</v>
      </c>
      <c r="B116" s="6" t="s">
        <v>18</v>
      </c>
      <c r="C116" s="6" t="s">
        <v>170</v>
      </c>
      <c r="D116" s="6" t="s">
        <v>171</v>
      </c>
      <c r="E116" s="7">
        <v>57</v>
      </c>
      <c r="F116" s="7">
        <v>57</v>
      </c>
      <c r="G116" s="7">
        <v>59.95</v>
      </c>
      <c r="H116" s="7">
        <v>53</v>
      </c>
      <c r="I116" s="7">
        <v>55.3</v>
      </c>
      <c r="J116" s="7">
        <v>2616880</v>
      </c>
      <c r="K116" s="7">
        <v>48000</v>
      </c>
      <c r="L116" s="7">
        <v>113.9</v>
      </c>
      <c r="M116" s="7">
        <v>53</v>
      </c>
      <c r="N116" s="7">
        <v>56.45</v>
      </c>
      <c r="O116" s="10">
        <v>-2.98E-2</v>
      </c>
      <c r="P116" s="8">
        <f t="shared" si="0"/>
        <v>56.45</v>
      </c>
    </row>
    <row r="117" spans="1:16" ht="15">
      <c r="A117" s="6" t="s">
        <v>17</v>
      </c>
      <c r="B117" s="6" t="s">
        <v>18</v>
      </c>
      <c r="C117" s="6" t="s">
        <v>19</v>
      </c>
      <c r="D117" s="6" t="s">
        <v>20</v>
      </c>
      <c r="E117" s="7">
        <v>69.7</v>
      </c>
      <c r="F117" s="7">
        <v>66.25</v>
      </c>
      <c r="G117" s="7">
        <v>73.099999999999994</v>
      </c>
      <c r="H117" s="7">
        <v>66.25</v>
      </c>
      <c r="I117" s="7">
        <v>73.099999999999994</v>
      </c>
      <c r="J117" s="7">
        <v>2615900</v>
      </c>
      <c r="K117" s="7">
        <v>36000</v>
      </c>
      <c r="L117" s="7">
        <v>73.099999999999994</v>
      </c>
      <c r="M117" s="7">
        <v>37.299999999999997</v>
      </c>
      <c r="N117" s="7">
        <v>69.680000000000007</v>
      </c>
      <c r="O117" s="10">
        <v>4.8800000000000003E-2</v>
      </c>
      <c r="P117" s="8">
        <f t="shared" si="0"/>
        <v>69.679999999999993</v>
      </c>
    </row>
    <row r="118" spans="1:16" ht="15">
      <c r="A118" s="6" t="s">
        <v>206</v>
      </c>
      <c r="B118" s="6" t="s">
        <v>35</v>
      </c>
      <c r="C118" s="6" t="s">
        <v>211</v>
      </c>
      <c r="D118" s="6" t="s">
        <v>212</v>
      </c>
      <c r="E118" s="7">
        <v>229.8</v>
      </c>
      <c r="F118" s="7">
        <v>227</v>
      </c>
      <c r="G118" s="7">
        <v>227</v>
      </c>
      <c r="H118" s="7">
        <v>226.5</v>
      </c>
      <c r="I118" s="7">
        <v>226.5</v>
      </c>
      <c r="J118" s="7">
        <v>2537600</v>
      </c>
      <c r="K118" s="7">
        <v>11200</v>
      </c>
      <c r="L118" s="7">
        <v>257.75</v>
      </c>
      <c r="M118" s="7">
        <v>43</v>
      </c>
      <c r="N118" s="7">
        <v>227.36</v>
      </c>
      <c r="O118" s="10">
        <v>-1.44E-2</v>
      </c>
      <c r="P118" s="8">
        <f t="shared" si="0"/>
        <v>227.35999999999999</v>
      </c>
    </row>
    <row r="119" spans="1:16" ht="15">
      <c r="A119" s="6" t="s">
        <v>17</v>
      </c>
      <c r="B119" s="6" t="s">
        <v>18</v>
      </c>
      <c r="C119" s="6" t="s">
        <v>732</v>
      </c>
      <c r="D119" s="6" t="s">
        <v>733</v>
      </c>
      <c r="E119" s="7">
        <v>93.55</v>
      </c>
      <c r="F119" s="7">
        <v>91.1</v>
      </c>
      <c r="G119" s="7">
        <v>93.8</v>
      </c>
      <c r="H119" s="7">
        <v>89.15</v>
      </c>
      <c r="I119" s="7">
        <v>92.2</v>
      </c>
      <c r="J119" s="7">
        <v>2522700</v>
      </c>
      <c r="K119" s="7">
        <v>27600</v>
      </c>
      <c r="L119" s="7">
        <v>201</v>
      </c>
      <c r="M119" s="7">
        <v>71</v>
      </c>
      <c r="N119" s="7">
        <v>91.96</v>
      </c>
      <c r="O119" s="10">
        <v>-1.44E-2</v>
      </c>
      <c r="P119" s="8">
        <f t="shared" si="0"/>
        <v>91.960000000000008</v>
      </c>
    </row>
    <row r="120" spans="1:16" ht="15">
      <c r="A120" s="6" t="s">
        <v>17</v>
      </c>
      <c r="B120" s="6" t="s">
        <v>18</v>
      </c>
      <c r="C120" s="6" t="s">
        <v>279</v>
      </c>
      <c r="D120" s="6" t="s">
        <v>280</v>
      </c>
      <c r="E120" s="7">
        <v>119.2</v>
      </c>
      <c r="F120" s="7">
        <v>117.5</v>
      </c>
      <c r="G120" s="7">
        <v>117.5</v>
      </c>
      <c r="H120" s="7">
        <v>111.3</v>
      </c>
      <c r="I120" s="7">
        <v>113.3</v>
      </c>
      <c r="J120" s="7">
        <v>2393000</v>
      </c>
      <c r="K120" s="7">
        <v>21000</v>
      </c>
      <c r="L120" s="7">
        <v>164.85</v>
      </c>
      <c r="M120" s="7">
        <v>104</v>
      </c>
      <c r="N120" s="7">
        <v>115.76</v>
      </c>
      <c r="O120" s="10">
        <v>-4.9500000000000002E-2</v>
      </c>
      <c r="P120" s="8">
        <f t="shared" si="0"/>
        <v>115.75999999999999</v>
      </c>
    </row>
    <row r="121" spans="1:16" ht="15">
      <c r="A121" s="6" t="s">
        <v>17</v>
      </c>
      <c r="B121" s="6" t="s">
        <v>18</v>
      </c>
      <c r="C121" s="6" t="s">
        <v>293</v>
      </c>
      <c r="D121" s="6" t="s">
        <v>294</v>
      </c>
      <c r="E121" s="7">
        <v>143.35</v>
      </c>
      <c r="F121" s="7">
        <v>145.25</v>
      </c>
      <c r="G121" s="7">
        <v>150</v>
      </c>
      <c r="H121" s="7">
        <v>145.25</v>
      </c>
      <c r="I121" s="7">
        <v>149.69999999999999</v>
      </c>
      <c r="J121" s="7">
        <v>2370200</v>
      </c>
      <c r="K121" s="7">
        <v>16000</v>
      </c>
      <c r="L121" s="7">
        <v>449.9</v>
      </c>
      <c r="M121" s="7">
        <v>133</v>
      </c>
      <c r="N121" s="7">
        <v>146.71</v>
      </c>
      <c r="O121" s="10">
        <v>4.4299999999999999E-2</v>
      </c>
      <c r="P121" s="8">
        <f t="shared" si="0"/>
        <v>146.70999999999998</v>
      </c>
    </row>
    <row r="122" spans="1:16" ht="15">
      <c r="A122" s="6" t="s">
        <v>17</v>
      </c>
      <c r="B122" s="6" t="s">
        <v>18</v>
      </c>
      <c r="C122" s="6" t="s">
        <v>943</v>
      </c>
      <c r="D122" s="6" t="s">
        <v>944</v>
      </c>
      <c r="E122" s="7">
        <v>61</v>
      </c>
      <c r="F122" s="7">
        <v>58</v>
      </c>
      <c r="G122" s="7">
        <v>66</v>
      </c>
      <c r="H122" s="7">
        <v>58</v>
      </c>
      <c r="I122" s="7">
        <v>64.75</v>
      </c>
      <c r="J122" s="7">
        <v>2320425</v>
      </c>
      <c r="K122" s="7">
        <v>39000</v>
      </c>
      <c r="L122" s="7">
        <v>95.8</v>
      </c>
      <c r="M122" s="7">
        <v>48</v>
      </c>
      <c r="N122" s="7">
        <v>61.55</v>
      </c>
      <c r="O122" s="10">
        <v>6.1499999999999999E-2</v>
      </c>
      <c r="P122" s="8">
        <f t="shared" si="0"/>
        <v>61.55</v>
      </c>
    </row>
    <row r="123" spans="1:16" ht="15">
      <c r="A123" s="6" t="s">
        <v>17</v>
      </c>
      <c r="B123" s="6" t="s">
        <v>18</v>
      </c>
      <c r="C123" s="6" t="s">
        <v>680</v>
      </c>
      <c r="D123" s="6" t="s">
        <v>681</v>
      </c>
      <c r="E123" s="7">
        <v>321.60000000000002</v>
      </c>
      <c r="F123" s="7">
        <v>321.60000000000002</v>
      </c>
      <c r="G123" s="7">
        <v>323</v>
      </c>
      <c r="H123" s="7">
        <v>317.35000000000002</v>
      </c>
      <c r="I123" s="7">
        <v>321.85000000000002</v>
      </c>
      <c r="J123" s="7">
        <v>2319375</v>
      </c>
      <c r="K123" s="7">
        <v>7250</v>
      </c>
      <c r="L123" s="7">
        <v>685</v>
      </c>
      <c r="M123" s="7">
        <v>300</v>
      </c>
      <c r="N123" s="7">
        <v>321.08</v>
      </c>
      <c r="O123" s="10">
        <v>8.0000000000000004E-4</v>
      </c>
      <c r="P123" s="8">
        <f t="shared" si="0"/>
        <v>321.08000000000004</v>
      </c>
    </row>
    <row r="124" spans="1:16" ht="15">
      <c r="A124" s="6" t="s">
        <v>17</v>
      </c>
      <c r="B124" s="6" t="s">
        <v>18</v>
      </c>
      <c r="C124" s="6" t="s">
        <v>808</v>
      </c>
      <c r="D124" s="6" t="s">
        <v>809</v>
      </c>
      <c r="E124" s="7">
        <v>35.9</v>
      </c>
      <c r="F124" s="7">
        <v>37.200000000000003</v>
      </c>
      <c r="G124" s="7">
        <v>38.799999999999997</v>
      </c>
      <c r="H124" s="7">
        <v>35.4</v>
      </c>
      <c r="I124" s="7">
        <v>35.4</v>
      </c>
      <c r="J124" s="7">
        <v>2307440</v>
      </c>
      <c r="K124" s="7">
        <v>64000</v>
      </c>
      <c r="L124" s="7">
        <v>110</v>
      </c>
      <c r="M124" s="7">
        <v>32.200000000000003</v>
      </c>
      <c r="N124" s="7">
        <v>36.54</v>
      </c>
      <c r="O124" s="10">
        <v>-1.3899999999999999E-2</v>
      </c>
      <c r="P124" s="8">
        <f t="shared" si="0"/>
        <v>36.54</v>
      </c>
    </row>
    <row r="125" spans="1:16" ht="15">
      <c r="A125" s="6" t="s">
        <v>17</v>
      </c>
      <c r="B125" s="6" t="s">
        <v>18</v>
      </c>
      <c r="C125" s="6" t="s">
        <v>331</v>
      </c>
      <c r="D125" s="6" t="s">
        <v>332</v>
      </c>
      <c r="E125" s="7">
        <v>200.65</v>
      </c>
      <c r="F125" s="7">
        <v>200.9</v>
      </c>
      <c r="G125" s="7">
        <v>201.1</v>
      </c>
      <c r="H125" s="7">
        <v>199</v>
      </c>
      <c r="I125" s="7">
        <v>199.95</v>
      </c>
      <c r="J125" s="7">
        <v>2307100</v>
      </c>
      <c r="K125" s="7">
        <v>11500</v>
      </c>
      <c r="L125" s="7">
        <v>255.15</v>
      </c>
      <c r="M125" s="7">
        <v>110.7</v>
      </c>
      <c r="N125" s="7">
        <v>200.32</v>
      </c>
      <c r="O125" s="10">
        <v>-3.5000000000000001E-3</v>
      </c>
      <c r="P125" s="8">
        <f t="shared" si="0"/>
        <v>200.32</v>
      </c>
    </row>
    <row r="126" spans="1:16" ht="15">
      <c r="A126" s="6" t="s">
        <v>17</v>
      </c>
      <c r="B126" s="6" t="s">
        <v>18</v>
      </c>
      <c r="C126" s="6" t="s">
        <v>319</v>
      </c>
      <c r="D126" s="6" t="s">
        <v>320</v>
      </c>
      <c r="E126" s="7">
        <v>138.25</v>
      </c>
      <c r="F126" s="7">
        <v>134</v>
      </c>
      <c r="G126" s="7">
        <v>135</v>
      </c>
      <c r="H126" s="7">
        <v>131.05000000000001</v>
      </c>
      <c r="I126" s="7">
        <v>134.94999999999999</v>
      </c>
      <c r="J126" s="7">
        <v>2306040</v>
      </c>
      <c r="K126" s="7">
        <v>17400</v>
      </c>
      <c r="L126" s="7">
        <v>255</v>
      </c>
      <c r="M126" s="7">
        <v>101.9</v>
      </c>
      <c r="N126" s="7">
        <v>134.65</v>
      </c>
      <c r="O126" s="10">
        <v>-2.3900000000000001E-2</v>
      </c>
      <c r="P126" s="8">
        <f t="shared" si="0"/>
        <v>134.65</v>
      </c>
    </row>
    <row r="127" spans="1:16" ht="15">
      <c r="A127" s="6" t="s">
        <v>17</v>
      </c>
      <c r="B127" s="6" t="s">
        <v>35</v>
      </c>
      <c r="C127" s="6" t="s">
        <v>130</v>
      </c>
      <c r="D127" s="6" t="s">
        <v>131</v>
      </c>
      <c r="E127" s="7">
        <v>86.95</v>
      </c>
      <c r="F127" s="7">
        <v>84.1</v>
      </c>
      <c r="G127" s="7">
        <v>87.55</v>
      </c>
      <c r="H127" s="7">
        <v>83</v>
      </c>
      <c r="I127" s="7">
        <v>86.5</v>
      </c>
      <c r="J127" s="7">
        <v>2294600</v>
      </c>
      <c r="K127" s="7">
        <v>27000</v>
      </c>
      <c r="L127" s="7">
        <v>102.5</v>
      </c>
      <c r="M127" s="7">
        <v>50</v>
      </c>
      <c r="N127" s="7">
        <v>85.62</v>
      </c>
      <c r="O127" s="10">
        <v>-5.1999999999999998E-3</v>
      </c>
      <c r="P127" s="8">
        <f t="shared" si="0"/>
        <v>85.62</v>
      </c>
    </row>
    <row r="128" spans="1:16" ht="15">
      <c r="A128" s="6" t="s">
        <v>206</v>
      </c>
      <c r="B128" s="6" t="s">
        <v>35</v>
      </c>
      <c r="C128" s="6" t="s">
        <v>213</v>
      </c>
      <c r="D128" s="6" t="s">
        <v>214</v>
      </c>
      <c r="E128" s="7">
        <v>273.75</v>
      </c>
      <c r="F128" s="7">
        <v>268.3</v>
      </c>
      <c r="G128" s="7">
        <v>268.39999999999998</v>
      </c>
      <c r="H128" s="7">
        <v>268.3</v>
      </c>
      <c r="I128" s="7">
        <v>268.39999999999998</v>
      </c>
      <c r="J128" s="7">
        <v>2280800</v>
      </c>
      <c r="K128" s="7">
        <v>8500</v>
      </c>
      <c r="L128" s="7">
        <v>330.6</v>
      </c>
      <c r="M128" s="7">
        <v>92.05</v>
      </c>
      <c r="N128" s="7">
        <v>269.43</v>
      </c>
      <c r="O128" s="10">
        <v>-1.95E-2</v>
      </c>
      <c r="P128" s="8">
        <f t="shared" si="0"/>
        <v>269.43</v>
      </c>
    </row>
    <row r="129" spans="1:16" ht="15">
      <c r="A129" s="6" t="s">
        <v>17</v>
      </c>
      <c r="B129" s="6" t="s">
        <v>35</v>
      </c>
      <c r="C129" s="6" t="s">
        <v>864</v>
      </c>
      <c r="D129" s="6" t="s">
        <v>865</v>
      </c>
      <c r="E129" s="7">
        <v>292.10000000000002</v>
      </c>
      <c r="F129" s="7">
        <v>281</v>
      </c>
      <c r="G129" s="7">
        <v>289</v>
      </c>
      <c r="H129" s="7">
        <v>279.10000000000002</v>
      </c>
      <c r="I129" s="7">
        <v>289</v>
      </c>
      <c r="J129" s="7">
        <v>2268100</v>
      </c>
      <c r="K129" s="7">
        <v>8000</v>
      </c>
      <c r="L129" s="7">
        <v>390.6</v>
      </c>
      <c r="M129" s="7">
        <v>120</v>
      </c>
      <c r="N129" s="7">
        <v>286.04000000000002</v>
      </c>
      <c r="O129" s="10">
        <v>-1.06E-2</v>
      </c>
      <c r="P129" s="8">
        <f t="shared" si="0"/>
        <v>286.04000000000002</v>
      </c>
    </row>
    <row r="130" spans="1:16" ht="15">
      <c r="A130" s="6" t="s">
        <v>17</v>
      </c>
      <c r="B130" s="6" t="s">
        <v>18</v>
      </c>
      <c r="C130" s="6" t="s">
        <v>800</v>
      </c>
      <c r="D130" s="6" t="s">
        <v>801</v>
      </c>
      <c r="E130" s="7">
        <v>29.8</v>
      </c>
      <c r="F130" s="7">
        <v>29.2</v>
      </c>
      <c r="G130" s="7">
        <v>30.45</v>
      </c>
      <c r="H130" s="7">
        <v>27.35</v>
      </c>
      <c r="I130" s="7">
        <v>28.6</v>
      </c>
      <c r="J130" s="7">
        <v>2243440</v>
      </c>
      <c r="K130" s="7">
        <v>78400</v>
      </c>
      <c r="L130" s="7">
        <v>68.8</v>
      </c>
      <c r="M130" s="7">
        <v>27.35</v>
      </c>
      <c r="N130" s="7">
        <v>29.08</v>
      </c>
      <c r="O130" s="10">
        <v>-4.0300000000000002E-2</v>
      </c>
      <c r="P130" s="8">
        <f t="shared" si="0"/>
        <v>29.080000000000002</v>
      </c>
    </row>
    <row r="131" spans="1:16" ht="15">
      <c r="A131" s="6" t="s">
        <v>17</v>
      </c>
      <c r="B131" s="6" t="s">
        <v>18</v>
      </c>
      <c r="C131" s="6" t="s">
        <v>104</v>
      </c>
      <c r="D131" s="6" t="s">
        <v>105</v>
      </c>
      <c r="E131" s="7">
        <v>142.6</v>
      </c>
      <c r="F131" s="7">
        <v>143.5</v>
      </c>
      <c r="G131" s="7">
        <v>145.5</v>
      </c>
      <c r="H131" s="7">
        <v>139.55000000000001</v>
      </c>
      <c r="I131" s="7">
        <v>141.85</v>
      </c>
      <c r="J131" s="7">
        <v>2219980</v>
      </c>
      <c r="K131" s="7">
        <v>15600</v>
      </c>
      <c r="L131" s="7">
        <v>294</v>
      </c>
      <c r="M131" s="7">
        <v>109</v>
      </c>
      <c r="N131" s="7">
        <v>142.6</v>
      </c>
      <c r="O131" s="10">
        <v>-5.3E-3</v>
      </c>
      <c r="P131" s="8">
        <f t="shared" si="0"/>
        <v>142.60000000000002</v>
      </c>
    </row>
    <row r="132" spans="1:16" ht="15">
      <c r="A132" s="6" t="s">
        <v>17</v>
      </c>
      <c r="B132" s="6" t="s">
        <v>18</v>
      </c>
      <c r="C132" s="6" t="s">
        <v>267</v>
      </c>
      <c r="D132" s="6" t="s">
        <v>268</v>
      </c>
      <c r="E132" s="7">
        <v>149.85</v>
      </c>
      <c r="F132" s="7">
        <v>151.94999999999999</v>
      </c>
      <c r="G132" s="7">
        <v>151.94999999999999</v>
      </c>
      <c r="H132" s="7">
        <v>147.6</v>
      </c>
      <c r="I132" s="7">
        <v>149.55000000000001</v>
      </c>
      <c r="J132" s="7">
        <v>2206548</v>
      </c>
      <c r="K132" s="7">
        <v>14760</v>
      </c>
      <c r="L132" s="7">
        <v>625.45000000000005</v>
      </c>
      <c r="M132" s="7">
        <v>136.5</v>
      </c>
      <c r="N132" s="7">
        <v>150.18</v>
      </c>
      <c r="O132" s="10">
        <v>-2E-3</v>
      </c>
      <c r="P132" s="8">
        <f t="shared" si="0"/>
        <v>150.17999999999998</v>
      </c>
    </row>
    <row r="133" spans="1:16" ht="15">
      <c r="A133" s="6" t="s">
        <v>17</v>
      </c>
      <c r="B133" s="6" t="s">
        <v>18</v>
      </c>
      <c r="C133" s="6" t="s">
        <v>898</v>
      </c>
      <c r="D133" s="6" t="s">
        <v>899</v>
      </c>
      <c r="E133" s="7">
        <v>41.5</v>
      </c>
      <c r="F133" s="7">
        <v>42.75</v>
      </c>
      <c r="G133" s="7">
        <v>47</v>
      </c>
      <c r="H133" s="7">
        <v>42.75</v>
      </c>
      <c r="I133" s="7">
        <v>45.5</v>
      </c>
      <c r="J133" s="7">
        <v>2181200</v>
      </c>
      <c r="K133" s="7">
        <v>48000</v>
      </c>
      <c r="L133" s="7">
        <v>55.5</v>
      </c>
      <c r="M133" s="7">
        <v>35</v>
      </c>
      <c r="N133" s="7">
        <v>43.9</v>
      </c>
      <c r="O133" s="10">
        <v>9.64E-2</v>
      </c>
      <c r="P133" s="8">
        <f t="shared" si="0"/>
        <v>43.9</v>
      </c>
    </row>
    <row r="134" spans="1:16" ht="15">
      <c r="A134" s="6" t="s">
        <v>17</v>
      </c>
      <c r="B134" s="6" t="s">
        <v>18</v>
      </c>
      <c r="C134" s="6" t="s">
        <v>427</v>
      </c>
      <c r="D134" s="6" t="s">
        <v>428</v>
      </c>
      <c r="E134" s="7">
        <v>178.8</v>
      </c>
      <c r="F134" s="7">
        <v>178.85</v>
      </c>
      <c r="G134" s="7">
        <v>184.7</v>
      </c>
      <c r="H134" s="7">
        <v>177</v>
      </c>
      <c r="I134" s="7">
        <v>178.05</v>
      </c>
      <c r="J134" s="7">
        <v>2163750</v>
      </c>
      <c r="K134" s="7">
        <v>12000</v>
      </c>
      <c r="L134" s="7">
        <v>300</v>
      </c>
      <c r="M134" s="7">
        <v>150</v>
      </c>
      <c r="N134" s="7">
        <v>179.48</v>
      </c>
      <c r="O134" s="10">
        <v>-4.1999999999999997E-3</v>
      </c>
      <c r="P134" s="8">
        <f t="shared" si="0"/>
        <v>179.47999999999996</v>
      </c>
    </row>
    <row r="135" spans="1:16" ht="15">
      <c r="A135" s="6" t="s">
        <v>17</v>
      </c>
      <c r="B135" s="6" t="s">
        <v>18</v>
      </c>
      <c r="C135" s="6" t="s">
        <v>389</v>
      </c>
      <c r="D135" s="6" t="s">
        <v>390</v>
      </c>
      <c r="E135" s="7">
        <v>44.5</v>
      </c>
      <c r="F135" s="7">
        <v>42.25</v>
      </c>
      <c r="G135" s="7">
        <v>42.85</v>
      </c>
      <c r="H135" s="7">
        <v>40.5</v>
      </c>
      <c r="I135" s="7">
        <v>42.85</v>
      </c>
      <c r="J135" s="7">
        <v>2150400</v>
      </c>
      <c r="K135" s="7">
        <v>52000</v>
      </c>
      <c r="L135" s="7">
        <v>74.5</v>
      </c>
      <c r="M135" s="7">
        <v>31</v>
      </c>
      <c r="N135" s="7">
        <v>42.59</v>
      </c>
      <c r="O135" s="10">
        <v>-3.7100000000000001E-2</v>
      </c>
      <c r="P135" s="8">
        <f t="shared" si="0"/>
        <v>42.589999999999996</v>
      </c>
    </row>
    <row r="136" spans="1:16" ht="15">
      <c r="A136" s="6" t="s">
        <v>17</v>
      </c>
      <c r="B136" s="6" t="s">
        <v>18</v>
      </c>
      <c r="C136" s="6" t="s">
        <v>886</v>
      </c>
      <c r="D136" s="6" t="s">
        <v>887</v>
      </c>
      <c r="E136" s="7">
        <v>608.35</v>
      </c>
      <c r="F136" s="7">
        <v>605</v>
      </c>
      <c r="G136" s="7">
        <v>610.95000000000005</v>
      </c>
      <c r="H136" s="7">
        <v>600</v>
      </c>
      <c r="I136" s="7">
        <v>602.29999999999995</v>
      </c>
      <c r="J136" s="7">
        <v>2114838</v>
      </c>
      <c r="K136" s="7">
        <v>3500</v>
      </c>
      <c r="L136" s="7">
        <v>704</v>
      </c>
      <c r="M136" s="7">
        <v>533</v>
      </c>
      <c r="N136" s="7">
        <v>605.32000000000005</v>
      </c>
      <c r="O136" s="10">
        <v>-9.9000000000000008E-3</v>
      </c>
      <c r="P136" s="8">
        <f t="shared" si="0"/>
        <v>605.32000000000005</v>
      </c>
    </row>
    <row r="137" spans="1:16" ht="15">
      <c r="A137" s="6" t="s">
        <v>17</v>
      </c>
      <c r="B137" s="6" t="s">
        <v>35</v>
      </c>
      <c r="C137" s="6" t="s">
        <v>489</v>
      </c>
      <c r="D137" s="6" t="s">
        <v>490</v>
      </c>
      <c r="E137" s="7">
        <v>51</v>
      </c>
      <c r="F137" s="7">
        <v>52.5</v>
      </c>
      <c r="G137" s="7">
        <v>53.5</v>
      </c>
      <c r="H137" s="7">
        <v>49.2</v>
      </c>
      <c r="I137" s="7">
        <v>49.2</v>
      </c>
      <c r="J137" s="7">
        <v>2066680</v>
      </c>
      <c r="K137" s="7">
        <v>39600</v>
      </c>
      <c r="L137" s="7">
        <v>53.5</v>
      </c>
      <c r="M137" s="7">
        <v>24.85</v>
      </c>
      <c r="N137" s="7">
        <v>51.08</v>
      </c>
      <c r="O137" s="10">
        <v>-3.5299999999999998E-2</v>
      </c>
      <c r="P137" s="8">
        <f t="shared" si="0"/>
        <v>51.08</v>
      </c>
    </row>
    <row r="138" spans="1:16" ht="15">
      <c r="A138" s="6" t="s">
        <v>17</v>
      </c>
      <c r="B138" s="6" t="s">
        <v>18</v>
      </c>
      <c r="C138" s="6" t="s">
        <v>602</v>
      </c>
      <c r="D138" s="6" t="s">
        <v>603</v>
      </c>
      <c r="E138" s="7">
        <v>60</v>
      </c>
      <c r="F138" s="7">
        <v>61.5</v>
      </c>
      <c r="G138" s="7">
        <v>65.95</v>
      </c>
      <c r="H138" s="7">
        <v>57.5</v>
      </c>
      <c r="I138" s="7">
        <v>62.85</v>
      </c>
      <c r="J138" s="7">
        <v>2056150</v>
      </c>
      <c r="K138" s="7">
        <v>34000</v>
      </c>
      <c r="L138" s="7">
        <v>121.1</v>
      </c>
      <c r="M138" s="7">
        <v>52.55</v>
      </c>
      <c r="N138" s="7">
        <v>61.56</v>
      </c>
      <c r="O138" s="10">
        <v>4.7500000000000001E-2</v>
      </c>
      <c r="P138" s="8">
        <f t="shared" si="0"/>
        <v>61.56</v>
      </c>
    </row>
    <row r="139" spans="1:16" ht="15">
      <c r="A139" s="6" t="s">
        <v>17</v>
      </c>
      <c r="B139" s="6" t="s">
        <v>18</v>
      </c>
      <c r="C139" s="6" t="s">
        <v>60</v>
      </c>
      <c r="D139" s="6" t="s">
        <v>61</v>
      </c>
      <c r="E139" s="7">
        <v>190.3</v>
      </c>
      <c r="F139" s="7">
        <v>194</v>
      </c>
      <c r="G139" s="7">
        <v>195</v>
      </c>
      <c r="H139" s="7">
        <v>190.55</v>
      </c>
      <c r="I139" s="7">
        <v>193.45</v>
      </c>
      <c r="J139" s="7">
        <v>2008460</v>
      </c>
      <c r="K139" s="7">
        <v>10400</v>
      </c>
      <c r="L139" s="7">
        <v>504.75</v>
      </c>
      <c r="M139" s="7">
        <v>188</v>
      </c>
      <c r="N139" s="7">
        <v>192.66</v>
      </c>
      <c r="O139" s="10">
        <v>1.66E-2</v>
      </c>
      <c r="P139" s="8">
        <f t="shared" si="0"/>
        <v>192.66</v>
      </c>
    </row>
    <row r="140" spans="1:16" ht="15">
      <c r="A140" s="6" t="s">
        <v>17</v>
      </c>
      <c r="B140" s="6" t="s">
        <v>35</v>
      </c>
      <c r="C140" s="6" t="s">
        <v>56</v>
      </c>
      <c r="D140" s="6" t="s">
        <v>57</v>
      </c>
      <c r="E140" s="7">
        <v>204</v>
      </c>
      <c r="F140" s="7">
        <v>205</v>
      </c>
      <c r="G140" s="7">
        <v>209.95</v>
      </c>
      <c r="H140" s="7">
        <v>205</v>
      </c>
      <c r="I140" s="7">
        <v>208.5</v>
      </c>
      <c r="J140" s="7">
        <v>2003080</v>
      </c>
      <c r="K140" s="7">
        <v>9600</v>
      </c>
      <c r="L140" s="7">
        <v>299.3</v>
      </c>
      <c r="M140" s="7">
        <v>62</v>
      </c>
      <c r="N140" s="7">
        <v>206.49</v>
      </c>
      <c r="O140" s="10">
        <v>2.2100000000000002E-2</v>
      </c>
      <c r="P140" s="8">
        <f t="shared" si="0"/>
        <v>206.49</v>
      </c>
    </row>
    <row r="141" spans="1:16" ht="15">
      <c r="A141" s="6" t="s">
        <v>17</v>
      </c>
      <c r="B141" s="6" t="s">
        <v>18</v>
      </c>
      <c r="C141" s="6" t="s">
        <v>351</v>
      </c>
      <c r="D141" s="6" t="s">
        <v>352</v>
      </c>
      <c r="E141" s="7">
        <v>74.8</v>
      </c>
      <c r="F141" s="7">
        <v>75.849999999999994</v>
      </c>
      <c r="G141" s="7">
        <v>76.95</v>
      </c>
      <c r="H141" s="7">
        <v>74.8</v>
      </c>
      <c r="I141" s="7">
        <v>76.3</v>
      </c>
      <c r="J141" s="7">
        <v>2002825</v>
      </c>
      <c r="K141" s="7">
        <v>26500</v>
      </c>
      <c r="L141" s="7">
        <v>211.95</v>
      </c>
      <c r="M141" s="7">
        <v>72.55</v>
      </c>
      <c r="N141" s="7">
        <v>75.739999999999995</v>
      </c>
      <c r="O141" s="10">
        <v>2.01E-2</v>
      </c>
      <c r="P141" s="8">
        <f t="shared" si="0"/>
        <v>75.739999999999995</v>
      </c>
    </row>
    <row r="142" spans="1:16" ht="15">
      <c r="A142" s="6" t="s">
        <v>17</v>
      </c>
      <c r="B142" s="6" t="s">
        <v>35</v>
      </c>
      <c r="C142" s="6" t="s">
        <v>686</v>
      </c>
      <c r="D142" s="6" t="s">
        <v>687</v>
      </c>
      <c r="E142" s="7">
        <v>372.5</v>
      </c>
      <c r="F142" s="7">
        <v>372.5</v>
      </c>
      <c r="G142" s="7">
        <v>372.5</v>
      </c>
      <c r="H142" s="7">
        <v>360</v>
      </c>
      <c r="I142" s="7">
        <v>370</v>
      </c>
      <c r="J142" s="7">
        <v>1989690</v>
      </c>
      <c r="K142" s="7">
        <v>5400</v>
      </c>
      <c r="L142" s="7">
        <v>430.65</v>
      </c>
      <c r="M142" s="7">
        <v>140.5</v>
      </c>
      <c r="N142" s="7">
        <v>369.5</v>
      </c>
      <c r="O142" s="10">
        <v>-6.7000000000000002E-3</v>
      </c>
      <c r="P142" s="8">
        <f t="shared" si="0"/>
        <v>369.5</v>
      </c>
    </row>
    <row r="143" spans="1:16" ht="15">
      <c r="A143" s="6" t="s">
        <v>17</v>
      </c>
      <c r="B143" s="6" t="s">
        <v>35</v>
      </c>
      <c r="C143" s="6" t="s">
        <v>417</v>
      </c>
      <c r="D143" s="6" t="s">
        <v>418</v>
      </c>
      <c r="E143" s="7">
        <v>744.45</v>
      </c>
      <c r="F143" s="7">
        <v>715</v>
      </c>
      <c r="G143" s="7">
        <v>740</v>
      </c>
      <c r="H143" s="7">
        <v>715</v>
      </c>
      <c r="I143" s="7">
        <v>723.2</v>
      </c>
      <c r="J143" s="7">
        <v>1961610</v>
      </c>
      <c r="K143" s="7">
        <v>2700</v>
      </c>
      <c r="L143" s="7">
        <v>1439</v>
      </c>
      <c r="M143" s="7">
        <v>556.04999999999995</v>
      </c>
      <c r="N143" s="7">
        <v>727.53</v>
      </c>
      <c r="O143" s="10">
        <v>-2.8500000000000001E-2</v>
      </c>
      <c r="P143" s="8">
        <f t="shared" si="0"/>
        <v>727.53</v>
      </c>
    </row>
    <row r="144" spans="1:16" ht="15">
      <c r="A144" s="6" t="s">
        <v>17</v>
      </c>
      <c r="B144" s="6" t="s">
        <v>18</v>
      </c>
      <c r="C144" s="6" t="s">
        <v>580</v>
      </c>
      <c r="D144" s="6" t="s">
        <v>581</v>
      </c>
      <c r="E144" s="7">
        <v>257</v>
      </c>
      <c r="F144" s="7">
        <v>257</v>
      </c>
      <c r="G144" s="7">
        <v>257</v>
      </c>
      <c r="H144" s="7">
        <v>236</v>
      </c>
      <c r="I144" s="7">
        <v>236.45</v>
      </c>
      <c r="J144" s="7">
        <v>1941760</v>
      </c>
      <c r="K144" s="7">
        <v>8000</v>
      </c>
      <c r="L144" s="7">
        <v>267.5</v>
      </c>
      <c r="M144" s="7">
        <v>150</v>
      </c>
      <c r="N144" s="7">
        <v>248.69</v>
      </c>
      <c r="O144" s="10">
        <v>-0.08</v>
      </c>
      <c r="P144" s="8">
        <f t="shared" si="0"/>
        <v>248.69</v>
      </c>
    </row>
    <row r="145" spans="1:16" ht="15">
      <c r="A145" s="6" t="s">
        <v>17</v>
      </c>
      <c r="B145" s="6" t="s">
        <v>18</v>
      </c>
      <c r="C145" s="6" t="s">
        <v>325</v>
      </c>
      <c r="D145" s="6" t="s">
        <v>326</v>
      </c>
      <c r="E145" s="7">
        <v>139</v>
      </c>
      <c r="F145" s="7">
        <v>137.9</v>
      </c>
      <c r="G145" s="7">
        <v>141.69999999999999</v>
      </c>
      <c r="H145" s="7">
        <v>135</v>
      </c>
      <c r="I145" s="7">
        <v>138.69999999999999</v>
      </c>
      <c r="J145" s="7">
        <v>1918050</v>
      </c>
      <c r="K145" s="7">
        <v>14000</v>
      </c>
      <c r="L145" s="7">
        <v>185.9</v>
      </c>
      <c r="M145" s="7">
        <v>111</v>
      </c>
      <c r="N145" s="7">
        <v>138.46</v>
      </c>
      <c r="O145" s="10">
        <v>-2.2000000000000001E-3</v>
      </c>
      <c r="P145" s="8">
        <f t="shared" si="0"/>
        <v>138.45999999999998</v>
      </c>
    </row>
    <row r="146" spans="1:16" ht="15">
      <c r="A146" s="6" t="s">
        <v>17</v>
      </c>
      <c r="B146" s="6" t="s">
        <v>18</v>
      </c>
      <c r="C146" s="6" t="s">
        <v>301</v>
      </c>
      <c r="D146" s="6" t="s">
        <v>302</v>
      </c>
      <c r="E146" s="7">
        <v>103.2</v>
      </c>
      <c r="F146" s="7">
        <v>108.35</v>
      </c>
      <c r="G146" s="7">
        <v>108.35</v>
      </c>
      <c r="H146" s="7">
        <v>108.35</v>
      </c>
      <c r="I146" s="7">
        <v>108.35</v>
      </c>
      <c r="J146" s="7">
        <v>1906960</v>
      </c>
      <c r="K146" s="7">
        <v>17600</v>
      </c>
      <c r="L146" s="7">
        <v>279.8</v>
      </c>
      <c r="M146" s="7">
        <v>83.4</v>
      </c>
      <c r="N146" s="7">
        <v>107.32</v>
      </c>
      <c r="O146" s="10">
        <v>4.99E-2</v>
      </c>
      <c r="P146" s="8">
        <f t="shared" si="0"/>
        <v>107.32000000000001</v>
      </c>
    </row>
    <row r="147" spans="1:16" ht="15">
      <c r="A147" s="6" t="s">
        <v>17</v>
      </c>
      <c r="B147" s="6" t="s">
        <v>35</v>
      </c>
      <c r="C147" s="6" t="s">
        <v>822</v>
      </c>
      <c r="D147" s="6" t="s">
        <v>823</v>
      </c>
      <c r="E147" s="7">
        <v>277.10000000000002</v>
      </c>
      <c r="F147" s="7">
        <v>279.85000000000002</v>
      </c>
      <c r="G147" s="7">
        <v>279.85000000000002</v>
      </c>
      <c r="H147" s="7">
        <v>278</v>
      </c>
      <c r="I147" s="7">
        <v>278</v>
      </c>
      <c r="J147" s="7">
        <v>1892880</v>
      </c>
      <c r="K147" s="7">
        <v>6800</v>
      </c>
      <c r="L147" s="7">
        <v>411</v>
      </c>
      <c r="M147" s="7">
        <v>192.25</v>
      </c>
      <c r="N147" s="7">
        <v>278.56</v>
      </c>
      <c r="O147" s="10">
        <v>3.2000000000000002E-3</v>
      </c>
      <c r="P147" s="8">
        <f t="shared" si="0"/>
        <v>278.56000000000006</v>
      </c>
    </row>
    <row r="148" spans="1:16" ht="15">
      <c r="A148" s="6" t="s">
        <v>17</v>
      </c>
      <c r="B148" s="6" t="s">
        <v>18</v>
      </c>
      <c r="C148" s="6" t="s">
        <v>78</v>
      </c>
      <c r="D148" s="6" t="s">
        <v>79</v>
      </c>
      <c r="E148" s="7">
        <v>120</v>
      </c>
      <c r="F148" s="7">
        <v>119</v>
      </c>
      <c r="G148" s="7">
        <v>130</v>
      </c>
      <c r="H148" s="7">
        <v>119</v>
      </c>
      <c r="I148" s="7">
        <v>130</v>
      </c>
      <c r="J148" s="7">
        <v>1860760</v>
      </c>
      <c r="K148" s="7">
        <v>15200</v>
      </c>
      <c r="L148" s="7">
        <v>165.6</v>
      </c>
      <c r="M148" s="7">
        <v>73</v>
      </c>
      <c r="N148" s="7">
        <v>123.6</v>
      </c>
      <c r="O148" s="10">
        <v>8.3299999999999999E-2</v>
      </c>
      <c r="P148" s="8">
        <f t="shared" si="0"/>
        <v>123.6</v>
      </c>
    </row>
    <row r="149" spans="1:16" ht="15">
      <c r="A149" s="6" t="s">
        <v>17</v>
      </c>
      <c r="B149" s="6" t="s">
        <v>18</v>
      </c>
      <c r="C149" s="6" t="s">
        <v>142</v>
      </c>
      <c r="D149" s="6" t="s">
        <v>143</v>
      </c>
      <c r="E149" s="7">
        <v>82.95</v>
      </c>
      <c r="F149" s="7">
        <v>84.5</v>
      </c>
      <c r="G149" s="7">
        <v>94.4</v>
      </c>
      <c r="H149" s="7">
        <v>84.5</v>
      </c>
      <c r="I149" s="7">
        <v>89.8</v>
      </c>
      <c r="J149" s="7">
        <v>1854320</v>
      </c>
      <c r="K149" s="7">
        <v>20800</v>
      </c>
      <c r="L149" s="7">
        <v>111</v>
      </c>
      <c r="M149" s="7">
        <v>69</v>
      </c>
      <c r="N149" s="7">
        <v>87.23</v>
      </c>
      <c r="O149" s="10">
        <v>8.2600000000000007E-2</v>
      </c>
      <c r="P149" s="8">
        <f t="shared" si="0"/>
        <v>87.23</v>
      </c>
    </row>
    <row r="150" spans="1:16" ht="15">
      <c r="A150" s="6" t="s">
        <v>17</v>
      </c>
      <c r="B150" s="6" t="s">
        <v>18</v>
      </c>
      <c r="C150" s="6" t="s">
        <v>237</v>
      </c>
      <c r="D150" s="6" t="s">
        <v>238</v>
      </c>
      <c r="E150" s="7">
        <v>207.65</v>
      </c>
      <c r="F150" s="7">
        <v>209.95</v>
      </c>
      <c r="G150" s="7">
        <v>210.95</v>
      </c>
      <c r="H150" s="7">
        <v>206.1</v>
      </c>
      <c r="I150" s="7">
        <v>208.15</v>
      </c>
      <c r="J150" s="7">
        <v>1840380</v>
      </c>
      <c r="K150" s="7">
        <v>8800</v>
      </c>
      <c r="L150" s="7">
        <v>270</v>
      </c>
      <c r="M150" s="7">
        <v>147.55000000000001</v>
      </c>
      <c r="N150" s="7">
        <v>208.56</v>
      </c>
      <c r="O150" s="10">
        <v>2.3999999999999998E-3</v>
      </c>
      <c r="P150" s="8">
        <f t="shared" si="0"/>
        <v>208.56</v>
      </c>
    </row>
    <row r="151" spans="1:16" ht="15">
      <c r="A151" s="6" t="s">
        <v>17</v>
      </c>
      <c r="B151" s="6" t="s">
        <v>18</v>
      </c>
      <c r="C151" s="6" t="s">
        <v>764</v>
      </c>
      <c r="D151" s="6" t="s">
        <v>765</v>
      </c>
      <c r="E151" s="7">
        <v>160</v>
      </c>
      <c r="F151" s="7">
        <v>154.44999999999999</v>
      </c>
      <c r="G151" s="7">
        <v>160</v>
      </c>
      <c r="H151" s="7">
        <v>154.44999999999999</v>
      </c>
      <c r="I151" s="7">
        <v>160</v>
      </c>
      <c r="J151" s="7">
        <v>1832575</v>
      </c>
      <c r="K151" s="7">
        <v>11500</v>
      </c>
      <c r="L151" s="7">
        <v>263</v>
      </c>
      <c r="M151" s="7">
        <v>150</v>
      </c>
      <c r="N151" s="7">
        <v>157.78</v>
      </c>
      <c r="O151" s="10">
        <v>0</v>
      </c>
      <c r="P151" s="8">
        <f t="shared" si="0"/>
        <v>157.78</v>
      </c>
    </row>
    <row r="152" spans="1:16" ht="15">
      <c r="A152" s="6" t="s">
        <v>17</v>
      </c>
      <c r="B152" s="6" t="s">
        <v>18</v>
      </c>
      <c r="C152" s="6" t="s">
        <v>223</v>
      </c>
      <c r="D152" s="6" t="s">
        <v>224</v>
      </c>
      <c r="E152" s="7">
        <v>126.45</v>
      </c>
      <c r="F152" s="7">
        <v>123.95</v>
      </c>
      <c r="G152" s="7">
        <v>131.5</v>
      </c>
      <c r="H152" s="7">
        <v>122.55</v>
      </c>
      <c r="I152" s="7">
        <v>131.5</v>
      </c>
      <c r="J152" s="7">
        <v>1823200</v>
      </c>
      <c r="K152" s="7">
        <v>14400</v>
      </c>
      <c r="L152" s="7">
        <v>209.5</v>
      </c>
      <c r="M152" s="7">
        <v>93.5</v>
      </c>
      <c r="N152" s="7">
        <v>127.19</v>
      </c>
      <c r="O152" s="10">
        <v>3.9899999999999998E-2</v>
      </c>
      <c r="P152" s="8">
        <f t="shared" si="0"/>
        <v>127.19000000000001</v>
      </c>
    </row>
    <row r="153" spans="1:16" ht="15">
      <c r="A153" s="6" t="s">
        <v>17</v>
      </c>
      <c r="B153" s="6" t="s">
        <v>18</v>
      </c>
      <c r="C153" s="6" t="s">
        <v>884</v>
      </c>
      <c r="D153" s="6" t="s">
        <v>885</v>
      </c>
      <c r="E153" s="7">
        <v>233.8</v>
      </c>
      <c r="F153" s="7">
        <v>233</v>
      </c>
      <c r="G153" s="7">
        <v>233.8</v>
      </c>
      <c r="H153" s="7">
        <v>222</v>
      </c>
      <c r="I153" s="7">
        <v>226.5</v>
      </c>
      <c r="J153" s="7">
        <v>1821260</v>
      </c>
      <c r="K153" s="7">
        <v>8000</v>
      </c>
      <c r="L153" s="7">
        <v>335</v>
      </c>
      <c r="M153" s="7">
        <v>81.099999999999994</v>
      </c>
      <c r="N153" s="7">
        <v>229.82</v>
      </c>
      <c r="O153" s="10">
        <v>-3.1199999999999999E-2</v>
      </c>
      <c r="P153" s="8">
        <f t="shared" si="0"/>
        <v>229.82</v>
      </c>
    </row>
    <row r="154" spans="1:16" ht="15">
      <c r="A154" s="6" t="s">
        <v>17</v>
      </c>
      <c r="B154" s="6" t="s">
        <v>35</v>
      </c>
      <c r="C154" s="6" t="s">
        <v>84</v>
      </c>
      <c r="D154" s="6" t="s">
        <v>85</v>
      </c>
      <c r="E154" s="7">
        <v>141</v>
      </c>
      <c r="F154" s="7">
        <v>141</v>
      </c>
      <c r="G154" s="7">
        <v>141.94999999999999</v>
      </c>
      <c r="H154" s="7">
        <v>136.65</v>
      </c>
      <c r="I154" s="7">
        <v>136.80000000000001</v>
      </c>
      <c r="J154" s="7">
        <v>1813500</v>
      </c>
      <c r="K154" s="7">
        <v>13000</v>
      </c>
      <c r="L154" s="7">
        <v>161</v>
      </c>
      <c r="M154" s="7">
        <v>70.8</v>
      </c>
      <c r="N154" s="7">
        <v>139.47999999999999</v>
      </c>
      <c r="O154" s="10">
        <v>-2.98E-2</v>
      </c>
      <c r="P154" s="8">
        <f t="shared" si="0"/>
        <v>139.48000000000002</v>
      </c>
    </row>
    <row r="155" spans="1:16" ht="15">
      <c r="A155" s="6" t="s">
        <v>17</v>
      </c>
      <c r="B155" s="6" t="s">
        <v>18</v>
      </c>
      <c r="C155" s="6" t="s">
        <v>646</v>
      </c>
      <c r="D155" s="6" t="s">
        <v>647</v>
      </c>
      <c r="E155" s="7">
        <v>91.75</v>
      </c>
      <c r="F155" s="7">
        <v>91</v>
      </c>
      <c r="G155" s="7">
        <v>91</v>
      </c>
      <c r="H155" s="7">
        <v>81</v>
      </c>
      <c r="I155" s="7">
        <v>88</v>
      </c>
      <c r="J155" s="7">
        <v>1803800</v>
      </c>
      <c r="K155" s="7">
        <v>20800</v>
      </c>
      <c r="L155" s="7">
        <v>143</v>
      </c>
      <c r="M155" s="7">
        <v>81</v>
      </c>
      <c r="N155" s="7">
        <v>88.55</v>
      </c>
      <c r="O155" s="10">
        <v>-4.0899999999999999E-2</v>
      </c>
      <c r="P155" s="8">
        <f t="shared" si="0"/>
        <v>88.55</v>
      </c>
    </row>
    <row r="156" spans="1:16" ht="15">
      <c r="A156" s="6" t="s">
        <v>17</v>
      </c>
      <c r="B156" s="6" t="s">
        <v>18</v>
      </c>
      <c r="C156" s="6" t="s">
        <v>608</v>
      </c>
      <c r="D156" s="6" t="s">
        <v>609</v>
      </c>
      <c r="E156" s="7">
        <v>77.2</v>
      </c>
      <c r="F156" s="7">
        <v>77.75</v>
      </c>
      <c r="G156" s="7">
        <v>81.2</v>
      </c>
      <c r="H156" s="7">
        <v>75.099999999999994</v>
      </c>
      <c r="I156" s="7">
        <v>78</v>
      </c>
      <c r="J156" s="7">
        <v>1750800</v>
      </c>
      <c r="K156" s="7">
        <v>22400</v>
      </c>
      <c r="L156" s="7">
        <v>123.65</v>
      </c>
      <c r="M156" s="7">
        <v>70.7</v>
      </c>
      <c r="N156" s="7">
        <v>77.849999999999994</v>
      </c>
      <c r="O156" s="10">
        <v>1.04E-2</v>
      </c>
      <c r="P156" s="8">
        <f t="shared" si="0"/>
        <v>77.849999999999994</v>
      </c>
    </row>
    <row r="157" spans="1:16" ht="15">
      <c r="A157" s="6" t="s">
        <v>17</v>
      </c>
      <c r="B157" s="6" t="s">
        <v>18</v>
      </c>
      <c r="C157" s="6" t="s">
        <v>854</v>
      </c>
      <c r="D157" s="6" t="s">
        <v>855</v>
      </c>
      <c r="E157" s="7">
        <v>56.6</v>
      </c>
      <c r="F157" s="7">
        <v>54.2</v>
      </c>
      <c r="G157" s="7">
        <v>56.2</v>
      </c>
      <c r="H157" s="7">
        <v>51.3</v>
      </c>
      <c r="I157" s="7">
        <v>53.2</v>
      </c>
      <c r="J157" s="7">
        <v>1712910</v>
      </c>
      <c r="K157" s="7">
        <v>32400</v>
      </c>
      <c r="L157" s="7">
        <v>227.55</v>
      </c>
      <c r="M157" s="7">
        <v>51.3</v>
      </c>
      <c r="N157" s="7">
        <v>54.3</v>
      </c>
      <c r="O157" s="10">
        <v>-6.0100000000000001E-2</v>
      </c>
      <c r="P157" s="8">
        <f t="shared" si="0"/>
        <v>54.3</v>
      </c>
    </row>
    <row r="158" spans="1:16" ht="15">
      <c r="A158" s="6" t="s">
        <v>17</v>
      </c>
      <c r="B158" s="6" t="s">
        <v>18</v>
      </c>
      <c r="C158" s="6" t="s">
        <v>638</v>
      </c>
      <c r="D158" s="6" t="s">
        <v>639</v>
      </c>
      <c r="E158" s="7">
        <v>22.9</v>
      </c>
      <c r="F158" s="7">
        <v>24.5</v>
      </c>
      <c r="G158" s="7">
        <v>26.15</v>
      </c>
      <c r="H158" s="7">
        <v>23.05</v>
      </c>
      <c r="I158" s="7">
        <v>25.8</v>
      </c>
      <c r="J158" s="7">
        <v>1708800</v>
      </c>
      <c r="K158" s="7">
        <v>69000</v>
      </c>
      <c r="L158" s="7">
        <v>30.85</v>
      </c>
      <c r="M158" s="7">
        <v>16.5</v>
      </c>
      <c r="N158" s="7">
        <v>24.48</v>
      </c>
      <c r="O158" s="10">
        <v>0.12659999999999999</v>
      </c>
      <c r="P158" s="8">
        <f t="shared" si="0"/>
        <v>24.479999999999997</v>
      </c>
    </row>
    <row r="159" spans="1:16" ht="15">
      <c r="A159" s="6" t="s">
        <v>17</v>
      </c>
      <c r="B159" s="6" t="s">
        <v>18</v>
      </c>
      <c r="C159" s="6" t="s">
        <v>485</v>
      </c>
      <c r="D159" s="6" t="s">
        <v>486</v>
      </c>
      <c r="E159" s="7">
        <v>206.7</v>
      </c>
      <c r="F159" s="7">
        <v>205.6</v>
      </c>
      <c r="G159" s="7">
        <v>205.6</v>
      </c>
      <c r="H159" s="7">
        <v>201</v>
      </c>
      <c r="I159" s="7">
        <v>202.25</v>
      </c>
      <c r="J159" s="7">
        <v>1701420</v>
      </c>
      <c r="K159" s="7">
        <v>8400</v>
      </c>
      <c r="L159" s="7">
        <v>380</v>
      </c>
      <c r="M159" s="7">
        <v>192.55</v>
      </c>
      <c r="N159" s="7">
        <v>204.23</v>
      </c>
      <c r="O159" s="10">
        <v>-2.1499999999999998E-2</v>
      </c>
      <c r="P159" s="8">
        <f t="shared" si="0"/>
        <v>204.23</v>
      </c>
    </row>
    <row r="160" spans="1:16" ht="15">
      <c r="A160" s="6" t="s">
        <v>17</v>
      </c>
      <c r="B160" s="6" t="s">
        <v>18</v>
      </c>
      <c r="C160" s="6" t="s">
        <v>499</v>
      </c>
      <c r="D160" s="6" t="s">
        <v>500</v>
      </c>
      <c r="E160" s="7">
        <v>45.5</v>
      </c>
      <c r="F160" s="7">
        <v>43.15</v>
      </c>
      <c r="G160" s="7">
        <v>43.15</v>
      </c>
      <c r="H160" s="7">
        <v>37.799999999999997</v>
      </c>
      <c r="I160" s="7">
        <v>41</v>
      </c>
      <c r="J160" s="7">
        <v>1700400</v>
      </c>
      <c r="K160" s="7">
        <v>42000</v>
      </c>
      <c r="L160" s="7">
        <v>84.45</v>
      </c>
      <c r="M160" s="7">
        <v>37.799999999999997</v>
      </c>
      <c r="N160" s="7">
        <v>42.12</v>
      </c>
      <c r="O160" s="10">
        <v>-9.8900000000000002E-2</v>
      </c>
      <c r="P160" s="8">
        <f t="shared" si="0"/>
        <v>42.120000000000005</v>
      </c>
    </row>
    <row r="161" spans="1:16" ht="15">
      <c r="A161" s="6" t="s">
        <v>17</v>
      </c>
      <c r="B161" s="6" t="s">
        <v>18</v>
      </c>
      <c r="C161" s="6" t="s">
        <v>397</v>
      </c>
      <c r="D161" s="6" t="s">
        <v>398</v>
      </c>
      <c r="E161" s="7">
        <v>87.7</v>
      </c>
      <c r="F161" s="7">
        <v>90.9</v>
      </c>
      <c r="G161" s="7">
        <v>91</v>
      </c>
      <c r="H161" s="7">
        <v>86.35</v>
      </c>
      <c r="I161" s="7">
        <v>90.2</v>
      </c>
      <c r="J161" s="7">
        <v>1695250</v>
      </c>
      <c r="K161" s="7">
        <v>19000</v>
      </c>
      <c r="L161" s="7">
        <v>229</v>
      </c>
      <c r="M161" s="7">
        <v>84</v>
      </c>
      <c r="N161" s="7">
        <v>89.23</v>
      </c>
      <c r="O161" s="10">
        <v>2.8500000000000001E-2</v>
      </c>
      <c r="P161" s="8">
        <f t="shared" si="0"/>
        <v>89.23</v>
      </c>
    </row>
    <row r="162" spans="1:16" ht="15">
      <c r="A162" s="6" t="s">
        <v>17</v>
      </c>
      <c r="B162" s="6" t="s">
        <v>35</v>
      </c>
      <c r="C162" s="6" t="s">
        <v>377</v>
      </c>
      <c r="D162" s="6" t="s">
        <v>378</v>
      </c>
      <c r="E162" s="7">
        <v>201.9</v>
      </c>
      <c r="F162" s="7">
        <v>198</v>
      </c>
      <c r="G162" s="7">
        <v>198</v>
      </c>
      <c r="H162" s="7">
        <v>196.1</v>
      </c>
      <c r="I162" s="7">
        <v>196.1</v>
      </c>
      <c r="J162" s="7">
        <v>1650480</v>
      </c>
      <c r="K162" s="7">
        <v>8400</v>
      </c>
      <c r="L162" s="7">
        <v>243.9</v>
      </c>
      <c r="M162" s="7">
        <v>70.05</v>
      </c>
      <c r="N162" s="7">
        <v>198.02</v>
      </c>
      <c r="O162" s="10">
        <v>-2.87E-2</v>
      </c>
      <c r="P162" s="8">
        <f t="shared" si="0"/>
        <v>198.02</v>
      </c>
    </row>
    <row r="163" spans="1:16" ht="15">
      <c r="A163" s="6" t="s">
        <v>17</v>
      </c>
      <c r="B163" s="6" t="s">
        <v>18</v>
      </c>
      <c r="C163" s="6" t="s">
        <v>515</v>
      </c>
      <c r="D163" s="6" t="s">
        <v>516</v>
      </c>
      <c r="E163" s="7">
        <v>80.349999999999994</v>
      </c>
      <c r="F163" s="7">
        <v>81.75</v>
      </c>
      <c r="G163" s="7">
        <v>81.75</v>
      </c>
      <c r="H163" s="7">
        <v>75</v>
      </c>
      <c r="I163" s="7">
        <v>75.3</v>
      </c>
      <c r="J163" s="7">
        <v>1634340</v>
      </c>
      <c r="K163" s="7">
        <v>21600</v>
      </c>
      <c r="L163" s="7">
        <v>113.4</v>
      </c>
      <c r="M163" s="7">
        <v>71</v>
      </c>
      <c r="N163" s="7">
        <v>78.83</v>
      </c>
      <c r="O163" s="10">
        <v>-6.2899999999999998E-2</v>
      </c>
      <c r="P163" s="8">
        <f t="shared" si="0"/>
        <v>78.830000000000013</v>
      </c>
    </row>
    <row r="164" spans="1:16" ht="15">
      <c r="A164" s="6" t="s">
        <v>17</v>
      </c>
      <c r="B164" s="6" t="s">
        <v>18</v>
      </c>
      <c r="C164" s="6" t="s">
        <v>794</v>
      </c>
      <c r="D164" s="6" t="s">
        <v>795</v>
      </c>
      <c r="E164" s="7">
        <v>40.549999999999997</v>
      </c>
      <c r="F164" s="7">
        <v>40.549999999999997</v>
      </c>
      <c r="G164" s="7">
        <v>40.549999999999997</v>
      </c>
      <c r="H164" s="7">
        <v>39</v>
      </c>
      <c r="I164" s="7">
        <v>40</v>
      </c>
      <c r="J164" s="7">
        <v>1623900</v>
      </c>
      <c r="K164" s="7">
        <v>41000</v>
      </c>
      <c r="L164" s="7">
        <v>93</v>
      </c>
      <c r="M164" s="7">
        <v>39</v>
      </c>
      <c r="N164" s="7">
        <v>40.130000000000003</v>
      </c>
      <c r="O164" s="10">
        <v>-1.3599999999999999E-2</v>
      </c>
      <c r="P164" s="8">
        <f t="shared" si="0"/>
        <v>40.129999999999995</v>
      </c>
    </row>
    <row r="165" spans="1:16" ht="15">
      <c r="A165" s="6" t="s">
        <v>17</v>
      </c>
      <c r="B165" s="6" t="s">
        <v>18</v>
      </c>
      <c r="C165" s="6" t="s">
        <v>519</v>
      </c>
      <c r="D165" s="6" t="s">
        <v>520</v>
      </c>
      <c r="E165" s="7">
        <v>239.95</v>
      </c>
      <c r="F165" s="7">
        <v>239.95</v>
      </c>
      <c r="G165" s="7">
        <v>239.95</v>
      </c>
      <c r="H165" s="7">
        <v>228.5</v>
      </c>
      <c r="I165" s="7">
        <v>229.25</v>
      </c>
      <c r="J165" s="7">
        <v>1615500</v>
      </c>
      <c r="K165" s="7">
        <v>7000</v>
      </c>
      <c r="L165" s="7">
        <v>241.55</v>
      </c>
      <c r="M165" s="7">
        <v>126.3</v>
      </c>
      <c r="N165" s="7">
        <v>235.52</v>
      </c>
      <c r="O165" s="10">
        <v>-4.4600000000000001E-2</v>
      </c>
      <c r="P165" s="8">
        <f t="shared" si="0"/>
        <v>235.51999999999998</v>
      </c>
    </row>
    <row r="166" spans="1:16" ht="15">
      <c r="A166" s="6" t="s">
        <v>17</v>
      </c>
      <c r="B166" s="6" t="s">
        <v>35</v>
      </c>
      <c r="C166" s="6" t="s">
        <v>658</v>
      </c>
      <c r="D166" s="6" t="s">
        <v>659</v>
      </c>
      <c r="E166" s="7">
        <v>146.85</v>
      </c>
      <c r="F166" s="7">
        <v>147</v>
      </c>
      <c r="G166" s="7">
        <v>150</v>
      </c>
      <c r="H166" s="7">
        <v>147</v>
      </c>
      <c r="I166" s="7">
        <v>150</v>
      </c>
      <c r="J166" s="7">
        <v>1602840</v>
      </c>
      <c r="K166" s="7">
        <v>10800</v>
      </c>
      <c r="L166" s="7">
        <v>158</v>
      </c>
      <c r="M166" s="7">
        <v>69</v>
      </c>
      <c r="N166" s="7">
        <v>148.16999999999999</v>
      </c>
      <c r="O166" s="10">
        <v>2.1499999999999998E-2</v>
      </c>
      <c r="P166" s="8">
        <f t="shared" si="0"/>
        <v>148.17000000000002</v>
      </c>
    </row>
    <row r="167" spans="1:16" ht="15">
      <c r="A167" s="6" t="s">
        <v>17</v>
      </c>
      <c r="B167" s="6" t="s">
        <v>35</v>
      </c>
      <c r="C167" s="6" t="s">
        <v>423</v>
      </c>
      <c r="D167" s="6" t="s">
        <v>424</v>
      </c>
      <c r="E167" s="7">
        <v>171.6</v>
      </c>
      <c r="F167" s="7">
        <v>166.1</v>
      </c>
      <c r="G167" s="7">
        <v>174</v>
      </c>
      <c r="H167" s="7">
        <v>163.05000000000001</v>
      </c>
      <c r="I167" s="7">
        <v>163.30000000000001</v>
      </c>
      <c r="J167" s="7">
        <v>1553723</v>
      </c>
      <c r="K167" s="7">
        <v>9300</v>
      </c>
      <c r="L167" s="7">
        <v>564.95000000000005</v>
      </c>
      <c r="M167" s="7">
        <v>135.19999999999999</v>
      </c>
      <c r="N167" s="7">
        <v>167.61</v>
      </c>
      <c r="O167" s="10">
        <v>-4.8399999999999999E-2</v>
      </c>
      <c r="P167" s="8">
        <f t="shared" si="0"/>
        <v>167.60999999999999</v>
      </c>
    </row>
    <row r="168" spans="1:16" ht="15">
      <c r="A168" s="6" t="s">
        <v>17</v>
      </c>
      <c r="B168" s="6" t="s">
        <v>18</v>
      </c>
      <c r="C168" s="6" t="s">
        <v>718</v>
      </c>
      <c r="D168" s="6" t="s">
        <v>719</v>
      </c>
      <c r="E168" s="7">
        <v>41.5</v>
      </c>
      <c r="F168" s="7">
        <v>43</v>
      </c>
      <c r="G168" s="7">
        <v>49.8</v>
      </c>
      <c r="H168" s="7">
        <v>43</v>
      </c>
      <c r="I168" s="7">
        <v>49.8</v>
      </c>
      <c r="J168" s="7">
        <v>1551200</v>
      </c>
      <c r="K168" s="7">
        <v>32000</v>
      </c>
      <c r="L168" s="7">
        <v>73.5</v>
      </c>
      <c r="M168" s="7">
        <v>39.200000000000003</v>
      </c>
      <c r="N168" s="7">
        <v>45.42</v>
      </c>
      <c r="O168" s="10">
        <v>0.2</v>
      </c>
      <c r="P168" s="8">
        <f t="shared" si="0"/>
        <v>45.42</v>
      </c>
    </row>
    <row r="169" spans="1:16" ht="15">
      <c r="A169" s="6" t="s">
        <v>17</v>
      </c>
      <c r="B169" s="6" t="s">
        <v>18</v>
      </c>
      <c r="C169" s="6" t="s">
        <v>904</v>
      </c>
      <c r="D169" s="6" t="s">
        <v>905</v>
      </c>
      <c r="E169" s="7">
        <v>371.25</v>
      </c>
      <c r="F169" s="7">
        <v>353</v>
      </c>
      <c r="G169" s="7">
        <v>372.55</v>
      </c>
      <c r="H169" s="7">
        <v>353</v>
      </c>
      <c r="I169" s="7">
        <v>372.55</v>
      </c>
      <c r="J169" s="7">
        <v>1542500</v>
      </c>
      <c r="K169" s="7">
        <v>4250</v>
      </c>
      <c r="L169" s="7">
        <v>475</v>
      </c>
      <c r="M169" s="7">
        <v>300</v>
      </c>
      <c r="N169" s="7">
        <v>364.47</v>
      </c>
      <c r="O169" s="10">
        <v>3.5000000000000001E-3</v>
      </c>
      <c r="P169" s="8">
        <f t="shared" si="0"/>
        <v>364.46999999999997</v>
      </c>
    </row>
    <row r="170" spans="1:16" ht="15">
      <c r="A170" s="6" t="s">
        <v>17</v>
      </c>
      <c r="B170" s="6" t="s">
        <v>18</v>
      </c>
      <c r="C170" s="6" t="s">
        <v>798</v>
      </c>
      <c r="D170" s="6" t="s">
        <v>799</v>
      </c>
      <c r="E170" s="7">
        <v>115.8</v>
      </c>
      <c r="F170" s="7">
        <v>115</v>
      </c>
      <c r="G170" s="7">
        <v>118.9</v>
      </c>
      <c r="H170" s="7">
        <v>114</v>
      </c>
      <c r="I170" s="7">
        <v>117.35</v>
      </c>
      <c r="J170" s="7">
        <v>1536120</v>
      </c>
      <c r="K170" s="7">
        <v>13200</v>
      </c>
      <c r="L170" s="7">
        <v>200</v>
      </c>
      <c r="M170" s="7">
        <v>108</v>
      </c>
      <c r="N170" s="7">
        <v>116.21</v>
      </c>
      <c r="O170" s="10">
        <v>1.34E-2</v>
      </c>
      <c r="P170" s="8">
        <f t="shared" si="0"/>
        <v>116.21000000000001</v>
      </c>
    </row>
    <row r="171" spans="1:16" ht="15">
      <c r="A171" s="6" t="s">
        <v>17</v>
      </c>
      <c r="B171" s="6" t="s">
        <v>18</v>
      </c>
      <c r="C171" s="6" t="s">
        <v>152</v>
      </c>
      <c r="D171" s="6" t="s">
        <v>153</v>
      </c>
      <c r="E171" s="7">
        <v>25.5</v>
      </c>
      <c r="F171" s="7">
        <v>25.3</v>
      </c>
      <c r="G171" s="7">
        <v>26</v>
      </c>
      <c r="H171" s="7">
        <v>25.1</v>
      </c>
      <c r="I171" s="7">
        <v>25.9</v>
      </c>
      <c r="J171" s="7">
        <v>1534600</v>
      </c>
      <c r="K171" s="7">
        <v>60000</v>
      </c>
      <c r="L171" s="7">
        <v>36.9</v>
      </c>
      <c r="M171" s="7">
        <v>23.5</v>
      </c>
      <c r="N171" s="7">
        <v>25.56</v>
      </c>
      <c r="O171" s="10">
        <v>1.5699999999999999E-2</v>
      </c>
      <c r="P171" s="8">
        <f t="shared" si="0"/>
        <v>25.560000000000002</v>
      </c>
    </row>
    <row r="172" spans="1:16" ht="15">
      <c r="A172" s="6" t="s">
        <v>17</v>
      </c>
      <c r="B172" s="6" t="s">
        <v>18</v>
      </c>
      <c r="C172" s="6" t="s">
        <v>543</v>
      </c>
      <c r="D172" s="6" t="s">
        <v>544</v>
      </c>
      <c r="E172" s="7">
        <v>81.2</v>
      </c>
      <c r="F172" s="7">
        <v>82.5</v>
      </c>
      <c r="G172" s="7">
        <v>82.5</v>
      </c>
      <c r="H172" s="7">
        <v>77.5</v>
      </c>
      <c r="I172" s="7">
        <v>78</v>
      </c>
      <c r="J172" s="7">
        <v>1525200</v>
      </c>
      <c r="K172" s="7">
        <v>19200</v>
      </c>
      <c r="L172" s="7">
        <v>107.55</v>
      </c>
      <c r="M172" s="7">
        <v>67.95</v>
      </c>
      <c r="N172" s="7">
        <v>80.34</v>
      </c>
      <c r="O172" s="10">
        <v>-3.9399999999999998E-2</v>
      </c>
      <c r="P172" s="8">
        <f t="shared" si="0"/>
        <v>80.34</v>
      </c>
    </row>
    <row r="173" spans="1:16" ht="15">
      <c r="A173" s="6" t="s">
        <v>17</v>
      </c>
      <c r="B173" s="6" t="s">
        <v>18</v>
      </c>
      <c r="C173" s="6" t="s">
        <v>505</v>
      </c>
      <c r="D173" s="6" t="s">
        <v>506</v>
      </c>
      <c r="E173" s="7">
        <v>81</v>
      </c>
      <c r="F173" s="7">
        <v>79</v>
      </c>
      <c r="G173" s="7">
        <v>80</v>
      </c>
      <c r="H173" s="7">
        <v>76.05</v>
      </c>
      <c r="I173" s="7">
        <v>80</v>
      </c>
      <c r="J173" s="7">
        <v>1512660</v>
      </c>
      <c r="K173" s="7">
        <v>19200</v>
      </c>
      <c r="L173" s="7">
        <v>119.1</v>
      </c>
      <c r="M173" s="7">
        <v>51.6</v>
      </c>
      <c r="N173" s="7">
        <v>79.209999999999994</v>
      </c>
      <c r="O173" s="10">
        <v>-1.23E-2</v>
      </c>
      <c r="P173" s="8">
        <f t="shared" si="0"/>
        <v>79.210000000000008</v>
      </c>
    </row>
    <row r="174" spans="1:16" ht="15">
      <c r="A174" s="6" t="s">
        <v>17</v>
      </c>
      <c r="B174" s="6" t="s">
        <v>18</v>
      </c>
      <c r="C174" s="6" t="s">
        <v>124</v>
      </c>
      <c r="D174" s="6" t="s">
        <v>125</v>
      </c>
      <c r="E174" s="7">
        <v>64.45</v>
      </c>
      <c r="F174" s="7">
        <v>64.45</v>
      </c>
      <c r="G174" s="7">
        <v>64.45</v>
      </c>
      <c r="H174" s="7">
        <v>60</v>
      </c>
      <c r="I174" s="7">
        <v>60</v>
      </c>
      <c r="J174" s="7">
        <v>1512100</v>
      </c>
      <c r="K174" s="7">
        <v>24000</v>
      </c>
      <c r="L174" s="7">
        <v>82.4</v>
      </c>
      <c r="M174" s="7">
        <v>41.15</v>
      </c>
      <c r="N174" s="7">
        <v>62.67</v>
      </c>
      <c r="O174" s="10">
        <v>-6.9000000000000006E-2</v>
      </c>
      <c r="P174" s="8">
        <f t="shared" si="0"/>
        <v>62.67</v>
      </c>
    </row>
    <row r="175" spans="1:16" ht="15">
      <c r="A175" s="6" t="s">
        <v>17</v>
      </c>
      <c r="B175" s="6" t="s">
        <v>18</v>
      </c>
      <c r="C175" s="6" t="s">
        <v>263</v>
      </c>
      <c r="D175" s="6" t="s">
        <v>264</v>
      </c>
      <c r="E175" s="7">
        <v>122.85</v>
      </c>
      <c r="F175" s="7">
        <v>122.85</v>
      </c>
      <c r="G175" s="7">
        <v>122.85</v>
      </c>
      <c r="H175" s="7">
        <v>118</v>
      </c>
      <c r="I175" s="7">
        <v>119.65</v>
      </c>
      <c r="J175" s="7">
        <v>1488160</v>
      </c>
      <c r="K175" s="7">
        <v>12400</v>
      </c>
      <c r="L175" s="7">
        <v>316</v>
      </c>
      <c r="M175" s="7">
        <v>114.5</v>
      </c>
      <c r="N175" s="7">
        <v>121.24</v>
      </c>
      <c r="O175" s="10">
        <v>-2.5999999999999999E-2</v>
      </c>
      <c r="P175" s="8">
        <f t="shared" si="0"/>
        <v>121.23999999999998</v>
      </c>
    </row>
    <row r="176" spans="1:16" ht="15">
      <c r="A176" s="6" t="s">
        <v>17</v>
      </c>
      <c r="B176" s="6" t="s">
        <v>18</v>
      </c>
      <c r="C176" s="6" t="s">
        <v>204</v>
      </c>
      <c r="D176" s="6" t="s">
        <v>205</v>
      </c>
      <c r="E176" s="7">
        <v>124</v>
      </c>
      <c r="F176" s="7">
        <v>123.5</v>
      </c>
      <c r="G176" s="7">
        <v>124</v>
      </c>
      <c r="H176" s="7">
        <v>122</v>
      </c>
      <c r="I176" s="7">
        <v>122.6</v>
      </c>
      <c r="J176" s="7">
        <v>1476150</v>
      </c>
      <c r="K176" s="7">
        <v>12000</v>
      </c>
      <c r="L176" s="7">
        <v>157.5</v>
      </c>
      <c r="M176" s="7">
        <v>103.2</v>
      </c>
      <c r="N176" s="7">
        <v>123.22</v>
      </c>
      <c r="O176" s="10">
        <v>-1.1299999999999999E-2</v>
      </c>
      <c r="P176" s="8">
        <f t="shared" si="0"/>
        <v>123.22</v>
      </c>
    </row>
    <row r="177" spans="1:16" ht="15">
      <c r="A177" s="6" t="s">
        <v>17</v>
      </c>
      <c r="B177" s="6" t="s">
        <v>18</v>
      </c>
      <c r="C177" s="6" t="s">
        <v>166</v>
      </c>
      <c r="D177" s="6" t="s">
        <v>167</v>
      </c>
      <c r="E177" s="7">
        <v>113.05</v>
      </c>
      <c r="F177" s="7">
        <v>110.05</v>
      </c>
      <c r="G177" s="7">
        <v>114</v>
      </c>
      <c r="H177" s="7">
        <v>110.05</v>
      </c>
      <c r="I177" s="7">
        <v>111.9</v>
      </c>
      <c r="J177" s="7">
        <v>1453400</v>
      </c>
      <c r="K177" s="7">
        <v>13000</v>
      </c>
      <c r="L177" s="7">
        <v>175</v>
      </c>
      <c r="M177" s="7">
        <v>82.1</v>
      </c>
      <c r="N177" s="7">
        <v>111.81</v>
      </c>
      <c r="O177" s="10">
        <v>-1.0200000000000001E-2</v>
      </c>
      <c r="P177" s="8">
        <f t="shared" si="0"/>
        <v>111.81000000000002</v>
      </c>
    </row>
    <row r="178" spans="1:16" ht="15">
      <c r="A178" s="6" t="s">
        <v>17</v>
      </c>
      <c r="B178" s="6" t="s">
        <v>35</v>
      </c>
      <c r="C178" s="6" t="s">
        <v>551</v>
      </c>
      <c r="D178" s="6" t="s">
        <v>552</v>
      </c>
      <c r="E178" s="7">
        <v>293</v>
      </c>
      <c r="F178" s="7">
        <v>290</v>
      </c>
      <c r="G178" s="7">
        <v>300.5</v>
      </c>
      <c r="H178" s="7">
        <v>278.35000000000002</v>
      </c>
      <c r="I178" s="7">
        <v>278.35000000000002</v>
      </c>
      <c r="J178" s="7">
        <v>1450850</v>
      </c>
      <c r="K178" s="7">
        <v>5000</v>
      </c>
      <c r="L178" s="7">
        <v>318.10000000000002</v>
      </c>
      <c r="M178" s="7">
        <v>122.85</v>
      </c>
      <c r="N178" s="7">
        <v>288.04000000000002</v>
      </c>
      <c r="O178" s="10">
        <v>-0.05</v>
      </c>
      <c r="P178" s="8">
        <f t="shared" si="0"/>
        <v>288.03999999999996</v>
      </c>
    </row>
    <row r="179" spans="1:16" ht="15">
      <c r="A179" s="6" t="s">
        <v>17</v>
      </c>
      <c r="B179" s="6" t="s">
        <v>35</v>
      </c>
      <c r="C179" s="6" t="s">
        <v>68</v>
      </c>
      <c r="D179" s="6" t="s">
        <v>69</v>
      </c>
      <c r="E179" s="7">
        <v>309.55</v>
      </c>
      <c r="F179" s="7">
        <v>303</v>
      </c>
      <c r="G179" s="7">
        <v>303</v>
      </c>
      <c r="H179" s="7">
        <v>300</v>
      </c>
      <c r="I179" s="7">
        <v>300.35000000000002</v>
      </c>
      <c r="J179" s="7">
        <v>1448000</v>
      </c>
      <c r="K179" s="7">
        <v>4800</v>
      </c>
      <c r="L179" s="7">
        <v>385</v>
      </c>
      <c r="M179" s="7">
        <v>161.69999999999999</v>
      </c>
      <c r="N179" s="7">
        <v>303.18</v>
      </c>
      <c r="O179" s="10">
        <v>-2.9700000000000001E-2</v>
      </c>
      <c r="P179" s="8">
        <f t="shared" si="0"/>
        <v>303.18</v>
      </c>
    </row>
    <row r="180" spans="1:16" ht="15">
      <c r="A180" s="6" t="s">
        <v>17</v>
      </c>
      <c r="B180" s="6" t="s">
        <v>35</v>
      </c>
      <c r="C180" s="6" t="s">
        <v>726</v>
      </c>
      <c r="D180" s="6" t="s">
        <v>727</v>
      </c>
      <c r="E180" s="7">
        <v>206.6</v>
      </c>
      <c r="F180" s="7">
        <v>205</v>
      </c>
      <c r="G180" s="7">
        <v>207</v>
      </c>
      <c r="H180" s="7">
        <v>204</v>
      </c>
      <c r="I180" s="7">
        <v>207</v>
      </c>
      <c r="J180" s="7">
        <v>1439500</v>
      </c>
      <c r="K180" s="7">
        <v>7000</v>
      </c>
      <c r="L180" s="7">
        <v>226.75</v>
      </c>
      <c r="M180" s="7">
        <v>71.5</v>
      </c>
      <c r="N180" s="7">
        <v>205.92</v>
      </c>
      <c r="O180" s="10">
        <v>1.9E-3</v>
      </c>
      <c r="P180" s="8">
        <f t="shared" si="0"/>
        <v>205.92</v>
      </c>
    </row>
    <row r="181" spans="1:16" ht="15">
      <c r="A181" s="6" t="s">
        <v>17</v>
      </c>
      <c r="B181" s="6" t="s">
        <v>18</v>
      </c>
      <c r="C181" s="6" t="s">
        <v>441</v>
      </c>
      <c r="D181" s="6" t="s">
        <v>442</v>
      </c>
      <c r="E181" s="7">
        <v>227.5</v>
      </c>
      <c r="F181" s="7">
        <v>220.05</v>
      </c>
      <c r="G181" s="7">
        <v>225</v>
      </c>
      <c r="H181" s="7">
        <v>220</v>
      </c>
      <c r="I181" s="7">
        <v>223.95</v>
      </c>
      <c r="J181" s="7">
        <v>1428560</v>
      </c>
      <c r="K181" s="7">
        <v>6400</v>
      </c>
      <c r="L181" s="7">
        <v>246.95</v>
      </c>
      <c r="M181" s="7">
        <v>150.6</v>
      </c>
      <c r="N181" s="7">
        <v>223.3</v>
      </c>
      <c r="O181" s="10">
        <v>-1.5599999999999999E-2</v>
      </c>
      <c r="P181" s="8">
        <f t="shared" si="0"/>
        <v>223.3</v>
      </c>
    </row>
    <row r="182" spans="1:16" ht="15">
      <c r="A182" s="6" t="s">
        <v>17</v>
      </c>
      <c r="B182" s="6" t="s">
        <v>18</v>
      </c>
      <c r="C182" s="6" t="s">
        <v>80</v>
      </c>
      <c r="D182" s="6" t="s">
        <v>81</v>
      </c>
      <c r="E182" s="7">
        <v>260.75</v>
      </c>
      <c r="F182" s="7">
        <v>260.75</v>
      </c>
      <c r="G182" s="7">
        <v>267</v>
      </c>
      <c r="H182" s="7">
        <v>250</v>
      </c>
      <c r="I182" s="7">
        <v>267</v>
      </c>
      <c r="J182" s="7">
        <v>1400000</v>
      </c>
      <c r="K182" s="7">
        <v>5500</v>
      </c>
      <c r="L182" s="7">
        <v>360</v>
      </c>
      <c r="M182" s="7">
        <v>86.5</v>
      </c>
      <c r="N182" s="7">
        <v>261.10000000000002</v>
      </c>
      <c r="O182" s="10">
        <v>2.4E-2</v>
      </c>
      <c r="P182" s="8">
        <f t="shared" si="0"/>
        <v>261.10000000000002</v>
      </c>
    </row>
    <row r="183" spans="1:16" ht="15">
      <c r="A183" s="6" t="s">
        <v>17</v>
      </c>
      <c r="B183" s="6" t="s">
        <v>18</v>
      </c>
      <c r="C183" s="6" t="s">
        <v>337</v>
      </c>
      <c r="D183" s="6" t="s">
        <v>338</v>
      </c>
      <c r="E183" s="7">
        <v>140.6</v>
      </c>
      <c r="F183" s="7">
        <v>141</v>
      </c>
      <c r="G183" s="7">
        <v>146.65</v>
      </c>
      <c r="H183" s="7">
        <v>141</v>
      </c>
      <c r="I183" s="7">
        <v>144.69999999999999</v>
      </c>
      <c r="J183" s="7">
        <v>1386000</v>
      </c>
      <c r="K183" s="7">
        <v>9600</v>
      </c>
      <c r="L183" s="7">
        <v>320.89999999999998</v>
      </c>
      <c r="M183" s="7">
        <v>125</v>
      </c>
      <c r="N183" s="7">
        <v>142.79</v>
      </c>
      <c r="O183" s="10">
        <v>2.92E-2</v>
      </c>
      <c r="P183" s="8">
        <f t="shared" si="0"/>
        <v>142.79000000000002</v>
      </c>
    </row>
    <row r="184" spans="1:16" ht="15">
      <c r="A184" s="6" t="s">
        <v>17</v>
      </c>
      <c r="B184" s="6" t="s">
        <v>18</v>
      </c>
      <c r="C184" s="6" t="s">
        <v>46</v>
      </c>
      <c r="D184" s="6" t="s">
        <v>47</v>
      </c>
      <c r="E184" s="7">
        <v>82.2</v>
      </c>
      <c r="F184" s="7">
        <v>83.5</v>
      </c>
      <c r="G184" s="7">
        <v>90.4</v>
      </c>
      <c r="H184" s="7">
        <v>83.5</v>
      </c>
      <c r="I184" s="7">
        <v>90.4</v>
      </c>
      <c r="J184" s="7">
        <v>1372900</v>
      </c>
      <c r="K184" s="7">
        <v>16000</v>
      </c>
      <c r="L184" s="7">
        <v>155.6</v>
      </c>
      <c r="M184" s="7">
        <v>60</v>
      </c>
      <c r="N184" s="7">
        <v>86</v>
      </c>
      <c r="O184" s="10">
        <v>9.98E-2</v>
      </c>
      <c r="P184" s="8">
        <f t="shared" si="0"/>
        <v>86</v>
      </c>
    </row>
    <row r="185" spans="1:16" ht="15">
      <c r="A185" s="6" t="s">
        <v>17</v>
      </c>
      <c r="B185" s="6" t="s">
        <v>35</v>
      </c>
      <c r="C185" s="6" t="s">
        <v>664</v>
      </c>
      <c r="D185" s="6" t="s">
        <v>665</v>
      </c>
      <c r="E185" s="7">
        <v>58.1</v>
      </c>
      <c r="F185" s="7">
        <v>58.2</v>
      </c>
      <c r="G185" s="7">
        <v>59.85</v>
      </c>
      <c r="H185" s="7">
        <v>58.2</v>
      </c>
      <c r="I185" s="7">
        <v>59</v>
      </c>
      <c r="J185" s="7">
        <v>1370150</v>
      </c>
      <c r="K185" s="7">
        <v>23000</v>
      </c>
      <c r="L185" s="7">
        <v>102.05</v>
      </c>
      <c r="M185" s="7">
        <v>50</v>
      </c>
      <c r="N185" s="7">
        <v>58.67</v>
      </c>
      <c r="O185" s="10">
        <v>1.55E-2</v>
      </c>
      <c r="P185" s="8">
        <f t="shared" si="0"/>
        <v>58.67</v>
      </c>
    </row>
    <row r="186" spans="1:16" ht="15">
      <c r="A186" s="6" t="s">
        <v>17</v>
      </c>
      <c r="B186" s="6" t="s">
        <v>18</v>
      </c>
      <c r="C186" s="6" t="s">
        <v>54</v>
      </c>
      <c r="D186" s="6" t="s">
        <v>55</v>
      </c>
      <c r="E186" s="7">
        <v>78</v>
      </c>
      <c r="F186" s="7">
        <v>72</v>
      </c>
      <c r="G186" s="7">
        <v>73.95</v>
      </c>
      <c r="H186" s="7">
        <v>70</v>
      </c>
      <c r="I186" s="7">
        <v>72.400000000000006</v>
      </c>
      <c r="J186" s="7">
        <v>1365750</v>
      </c>
      <c r="K186" s="7">
        <v>19000</v>
      </c>
      <c r="L186" s="7">
        <v>133.75</v>
      </c>
      <c r="M186" s="7">
        <v>63</v>
      </c>
      <c r="N186" s="7">
        <v>73.27</v>
      </c>
      <c r="O186" s="10">
        <v>-7.1800000000000003E-2</v>
      </c>
      <c r="P186" s="8">
        <f t="shared" si="0"/>
        <v>73.27000000000001</v>
      </c>
    </row>
    <row r="187" spans="1:16" ht="15">
      <c r="A187" s="6" t="s">
        <v>17</v>
      </c>
      <c r="B187" s="6" t="s">
        <v>18</v>
      </c>
      <c r="C187" s="6" t="s">
        <v>463</v>
      </c>
      <c r="D187" s="6" t="s">
        <v>464</v>
      </c>
      <c r="E187" s="7">
        <v>28.5</v>
      </c>
      <c r="F187" s="7">
        <v>28.6</v>
      </c>
      <c r="G187" s="7">
        <v>28.6</v>
      </c>
      <c r="H187" s="7">
        <v>26.75</v>
      </c>
      <c r="I187" s="7">
        <v>27.3</v>
      </c>
      <c r="J187" s="7">
        <v>1354275</v>
      </c>
      <c r="K187" s="7">
        <v>49500</v>
      </c>
      <c r="L187" s="7">
        <v>57.25</v>
      </c>
      <c r="M187" s="7">
        <v>26.75</v>
      </c>
      <c r="N187" s="7">
        <v>27.95</v>
      </c>
      <c r="O187" s="10">
        <v>-4.2099999999999999E-2</v>
      </c>
      <c r="P187" s="8">
        <f t="shared" si="0"/>
        <v>27.95</v>
      </c>
    </row>
    <row r="188" spans="1:16" ht="15">
      <c r="A188" s="6" t="s">
        <v>17</v>
      </c>
      <c r="B188" s="6" t="s">
        <v>18</v>
      </c>
      <c r="C188" s="6" t="s">
        <v>451</v>
      </c>
      <c r="D188" s="6" t="s">
        <v>452</v>
      </c>
      <c r="E188" s="7">
        <v>199.3</v>
      </c>
      <c r="F188" s="7">
        <v>219.95</v>
      </c>
      <c r="G188" s="7">
        <v>219.95</v>
      </c>
      <c r="H188" s="7">
        <v>190.9</v>
      </c>
      <c r="I188" s="7">
        <v>192.4</v>
      </c>
      <c r="J188" s="7">
        <v>1341160</v>
      </c>
      <c r="K188" s="7">
        <v>6800</v>
      </c>
      <c r="L188" s="7">
        <v>329</v>
      </c>
      <c r="M188" s="7">
        <v>190.9</v>
      </c>
      <c r="N188" s="7">
        <v>204.5</v>
      </c>
      <c r="O188" s="10">
        <v>-3.4599999999999999E-2</v>
      </c>
      <c r="P188" s="8">
        <f t="shared" si="0"/>
        <v>204.5</v>
      </c>
    </row>
    <row r="189" spans="1:16" ht="15">
      <c r="A189" s="6" t="s">
        <v>17</v>
      </c>
      <c r="B189" s="6" t="s">
        <v>18</v>
      </c>
      <c r="C189" s="6" t="s">
        <v>405</v>
      </c>
      <c r="D189" s="6" t="s">
        <v>406</v>
      </c>
      <c r="E189" s="7">
        <v>101.4</v>
      </c>
      <c r="F189" s="7">
        <v>98.6</v>
      </c>
      <c r="G189" s="7">
        <v>104.5</v>
      </c>
      <c r="H189" s="7">
        <v>98.6</v>
      </c>
      <c r="I189" s="7">
        <v>103.55</v>
      </c>
      <c r="J189" s="7">
        <v>1298370</v>
      </c>
      <c r="K189" s="7">
        <v>12600</v>
      </c>
      <c r="L189" s="7">
        <v>131.75</v>
      </c>
      <c r="M189" s="7">
        <v>85.5</v>
      </c>
      <c r="N189" s="7">
        <v>101.33</v>
      </c>
      <c r="O189" s="10">
        <v>2.12E-2</v>
      </c>
      <c r="P189" s="8">
        <f t="shared" si="0"/>
        <v>101.33000000000001</v>
      </c>
    </row>
    <row r="190" spans="1:16" ht="15">
      <c r="A190" s="6" t="s">
        <v>17</v>
      </c>
      <c r="B190" s="6" t="s">
        <v>18</v>
      </c>
      <c r="C190" s="6" t="s">
        <v>640</v>
      </c>
      <c r="D190" s="6" t="s">
        <v>641</v>
      </c>
      <c r="E190" s="7">
        <v>235</v>
      </c>
      <c r="F190" s="7">
        <v>226.2</v>
      </c>
      <c r="G190" s="7">
        <v>229.95</v>
      </c>
      <c r="H190" s="7">
        <v>222.55</v>
      </c>
      <c r="I190" s="7">
        <v>227.45</v>
      </c>
      <c r="J190" s="7">
        <v>1240775</v>
      </c>
      <c r="K190" s="7">
        <v>5500</v>
      </c>
      <c r="L190" s="7">
        <v>312.5</v>
      </c>
      <c r="M190" s="7">
        <v>173.15</v>
      </c>
      <c r="N190" s="7">
        <v>228.23</v>
      </c>
      <c r="O190" s="10">
        <v>-3.2099999999999997E-2</v>
      </c>
      <c r="P190" s="8">
        <f t="shared" si="0"/>
        <v>228.23000000000002</v>
      </c>
    </row>
    <row r="191" spans="1:16" ht="15">
      <c r="A191" s="6" t="s">
        <v>17</v>
      </c>
      <c r="B191" s="6" t="s">
        <v>18</v>
      </c>
      <c r="C191" s="6" t="s">
        <v>945</v>
      </c>
      <c r="D191" s="6" t="s">
        <v>946</v>
      </c>
      <c r="E191" s="7">
        <v>320</v>
      </c>
      <c r="F191" s="7">
        <v>339</v>
      </c>
      <c r="G191" s="7">
        <v>344.9</v>
      </c>
      <c r="H191" s="7">
        <v>338.9</v>
      </c>
      <c r="I191" s="7">
        <v>340</v>
      </c>
      <c r="J191" s="7">
        <v>1224525</v>
      </c>
      <c r="K191" s="7">
        <v>3600</v>
      </c>
      <c r="L191" s="7">
        <v>494.95</v>
      </c>
      <c r="M191" s="7">
        <v>268.7</v>
      </c>
      <c r="N191" s="7">
        <v>336.56</v>
      </c>
      <c r="O191" s="10">
        <v>6.25E-2</v>
      </c>
      <c r="P191" s="8">
        <f t="shared" si="0"/>
        <v>336.56</v>
      </c>
    </row>
    <row r="192" spans="1:16" ht="15">
      <c r="A192" s="6" t="s">
        <v>17</v>
      </c>
      <c r="B192" s="6" t="s">
        <v>18</v>
      </c>
      <c r="C192" s="6" t="s">
        <v>628</v>
      </c>
      <c r="D192" s="6" t="s">
        <v>629</v>
      </c>
      <c r="E192" s="7">
        <v>80</v>
      </c>
      <c r="F192" s="7">
        <v>80.599999999999994</v>
      </c>
      <c r="G192" s="7">
        <v>89</v>
      </c>
      <c r="H192" s="7">
        <v>80.599999999999994</v>
      </c>
      <c r="I192" s="7">
        <v>88.5</v>
      </c>
      <c r="J192" s="7">
        <v>1217700</v>
      </c>
      <c r="K192" s="7">
        <v>14000</v>
      </c>
      <c r="L192" s="7">
        <v>114</v>
      </c>
      <c r="M192" s="7">
        <v>72.349999999999994</v>
      </c>
      <c r="N192" s="7">
        <v>83.74</v>
      </c>
      <c r="O192" s="10">
        <v>0.10630000000000001</v>
      </c>
      <c r="P192" s="8">
        <f t="shared" si="0"/>
        <v>83.74</v>
      </c>
    </row>
    <row r="193" spans="1:16" ht="15">
      <c r="A193" s="6" t="s">
        <v>17</v>
      </c>
      <c r="B193" s="6" t="s">
        <v>35</v>
      </c>
      <c r="C193" s="6" t="s">
        <v>507</v>
      </c>
      <c r="D193" s="6" t="s">
        <v>508</v>
      </c>
      <c r="E193" s="7">
        <v>56.65</v>
      </c>
      <c r="F193" s="7">
        <v>59</v>
      </c>
      <c r="G193" s="7">
        <v>59</v>
      </c>
      <c r="H193" s="7">
        <v>54.7</v>
      </c>
      <c r="I193" s="7">
        <v>57.9</v>
      </c>
      <c r="J193" s="7">
        <v>1206150</v>
      </c>
      <c r="K193" s="7">
        <v>21000</v>
      </c>
      <c r="L193" s="7">
        <v>72.900000000000006</v>
      </c>
      <c r="M193" s="7">
        <v>37.049999999999997</v>
      </c>
      <c r="N193" s="7">
        <v>57.45</v>
      </c>
      <c r="O193" s="10">
        <v>2.2100000000000002E-2</v>
      </c>
      <c r="P193" s="8">
        <f t="shared" si="0"/>
        <v>57.45</v>
      </c>
    </row>
    <row r="194" spans="1:16" ht="15">
      <c r="A194" s="6" t="s">
        <v>17</v>
      </c>
      <c r="B194" s="6" t="s">
        <v>18</v>
      </c>
      <c r="C194" s="6" t="s">
        <v>491</v>
      </c>
      <c r="D194" s="6" t="s">
        <v>492</v>
      </c>
      <c r="E194" s="7">
        <v>37</v>
      </c>
      <c r="F194" s="7">
        <v>37.25</v>
      </c>
      <c r="G194" s="7">
        <v>37.25</v>
      </c>
      <c r="H194" s="7">
        <v>36.049999999999997</v>
      </c>
      <c r="I194" s="7">
        <v>36.049999999999997</v>
      </c>
      <c r="J194" s="7">
        <v>1200975</v>
      </c>
      <c r="K194" s="7">
        <v>33000</v>
      </c>
      <c r="L194" s="7">
        <v>75.5</v>
      </c>
      <c r="M194" s="7">
        <v>35.15</v>
      </c>
      <c r="N194" s="7">
        <v>36.72</v>
      </c>
      <c r="O194" s="10">
        <v>-2.5700000000000001E-2</v>
      </c>
      <c r="P194" s="8">
        <f t="shared" si="0"/>
        <v>36.720000000000006</v>
      </c>
    </row>
    <row r="195" spans="1:16" ht="15">
      <c r="A195" s="6" t="s">
        <v>17</v>
      </c>
      <c r="B195" s="6" t="s">
        <v>18</v>
      </c>
      <c r="C195" s="6" t="s">
        <v>353</v>
      </c>
      <c r="D195" s="6" t="s">
        <v>354</v>
      </c>
      <c r="E195" s="7">
        <v>58</v>
      </c>
      <c r="F195" s="7">
        <v>54.45</v>
      </c>
      <c r="G195" s="7">
        <v>56</v>
      </c>
      <c r="H195" s="7">
        <v>54.45</v>
      </c>
      <c r="I195" s="7">
        <v>55.95</v>
      </c>
      <c r="J195" s="7">
        <v>1193280</v>
      </c>
      <c r="K195" s="7">
        <v>21600</v>
      </c>
      <c r="L195" s="7">
        <v>78.25</v>
      </c>
      <c r="M195" s="7">
        <v>42.4</v>
      </c>
      <c r="N195" s="7">
        <v>55.77</v>
      </c>
      <c r="O195" s="10">
        <v>-3.5299999999999998E-2</v>
      </c>
      <c r="P195" s="8">
        <f t="shared" si="0"/>
        <v>55.769999999999996</v>
      </c>
    </row>
    <row r="196" spans="1:16" ht="15">
      <c r="A196" s="6" t="s">
        <v>17</v>
      </c>
      <c r="B196" s="6" t="s">
        <v>18</v>
      </c>
      <c r="C196" s="6" t="s">
        <v>72</v>
      </c>
      <c r="D196" s="6" t="s">
        <v>73</v>
      </c>
      <c r="E196" s="7">
        <v>374</v>
      </c>
      <c r="F196" s="7">
        <v>372</v>
      </c>
      <c r="G196" s="7">
        <v>373</v>
      </c>
      <c r="H196" s="7">
        <v>368.05</v>
      </c>
      <c r="I196" s="7">
        <v>371.5</v>
      </c>
      <c r="J196" s="7">
        <v>1186620</v>
      </c>
      <c r="K196" s="7">
        <v>3200</v>
      </c>
      <c r="L196" s="7">
        <v>497</v>
      </c>
      <c r="M196" s="7">
        <v>239</v>
      </c>
      <c r="N196" s="7">
        <v>371.71</v>
      </c>
      <c r="O196" s="10">
        <v>-6.7000000000000002E-3</v>
      </c>
      <c r="P196" s="8">
        <f t="shared" si="0"/>
        <v>371.71</v>
      </c>
    </row>
    <row r="197" spans="1:16" ht="15">
      <c r="A197" s="6" t="s">
        <v>17</v>
      </c>
      <c r="B197" s="6" t="s">
        <v>18</v>
      </c>
      <c r="C197" s="6" t="s">
        <v>738</v>
      </c>
      <c r="D197" s="6" t="s">
        <v>739</v>
      </c>
      <c r="E197" s="7">
        <v>72.75</v>
      </c>
      <c r="F197" s="7">
        <v>72.5</v>
      </c>
      <c r="G197" s="7">
        <v>74.599999999999994</v>
      </c>
      <c r="H197" s="7">
        <v>72.5</v>
      </c>
      <c r="I197" s="7">
        <v>74.599999999999994</v>
      </c>
      <c r="J197" s="7">
        <v>1180350</v>
      </c>
      <c r="K197" s="7">
        <v>16000</v>
      </c>
      <c r="L197" s="7">
        <v>145.35</v>
      </c>
      <c r="M197" s="7">
        <v>69.2</v>
      </c>
      <c r="N197" s="7">
        <v>73.39</v>
      </c>
      <c r="O197" s="10">
        <v>2.5399999999999999E-2</v>
      </c>
      <c r="P197" s="8">
        <f t="shared" si="0"/>
        <v>73.390000000000015</v>
      </c>
    </row>
    <row r="198" spans="1:16" ht="15">
      <c r="A198" s="6" t="s">
        <v>17</v>
      </c>
      <c r="B198" s="6" t="s">
        <v>18</v>
      </c>
      <c r="C198" s="6" t="s">
        <v>768</v>
      </c>
      <c r="D198" s="6" t="s">
        <v>769</v>
      </c>
      <c r="E198" s="7">
        <v>60.55</v>
      </c>
      <c r="F198" s="7">
        <v>60.55</v>
      </c>
      <c r="G198" s="7">
        <v>62.35</v>
      </c>
      <c r="H198" s="7">
        <v>58.75</v>
      </c>
      <c r="I198" s="7">
        <v>60.2</v>
      </c>
      <c r="J198" s="7">
        <v>1166700</v>
      </c>
      <c r="K198" s="7">
        <v>19200</v>
      </c>
      <c r="L198" s="7">
        <v>157.94999999999999</v>
      </c>
      <c r="M198" s="7">
        <v>58.75</v>
      </c>
      <c r="N198" s="7">
        <v>60.48</v>
      </c>
      <c r="O198" s="10">
        <v>-5.7999999999999996E-3</v>
      </c>
      <c r="P198" s="8">
        <f t="shared" si="0"/>
        <v>60.48</v>
      </c>
    </row>
    <row r="199" spans="1:16" ht="15">
      <c r="A199" s="6" t="s">
        <v>17</v>
      </c>
      <c r="B199" s="6" t="s">
        <v>18</v>
      </c>
      <c r="C199" s="6" t="s">
        <v>928</v>
      </c>
      <c r="D199" s="6" t="s">
        <v>929</v>
      </c>
      <c r="E199" s="7">
        <v>124.5</v>
      </c>
      <c r="F199" s="7">
        <v>116.7</v>
      </c>
      <c r="G199" s="7">
        <v>123.95</v>
      </c>
      <c r="H199" s="7">
        <v>116.05</v>
      </c>
      <c r="I199" s="7">
        <v>123.95</v>
      </c>
      <c r="J199" s="7">
        <v>1150625</v>
      </c>
      <c r="K199" s="7">
        <v>9500</v>
      </c>
      <c r="L199" s="7">
        <v>204</v>
      </c>
      <c r="M199" s="7">
        <v>113</v>
      </c>
      <c r="N199" s="7">
        <v>121.03</v>
      </c>
      <c r="O199" s="10">
        <v>-4.4000000000000003E-3</v>
      </c>
      <c r="P199" s="8">
        <f t="shared" si="0"/>
        <v>121.03</v>
      </c>
    </row>
    <row r="200" spans="1:16" ht="15">
      <c r="A200" s="6" t="s">
        <v>17</v>
      </c>
      <c r="B200" s="6" t="s">
        <v>18</v>
      </c>
      <c r="C200" s="6" t="s">
        <v>407</v>
      </c>
      <c r="D200" s="6" t="s">
        <v>408</v>
      </c>
      <c r="E200" s="7">
        <v>44.05</v>
      </c>
      <c r="F200" s="7">
        <v>43.6</v>
      </c>
      <c r="G200" s="7">
        <v>44.6</v>
      </c>
      <c r="H200" s="7">
        <v>41</v>
      </c>
      <c r="I200" s="7">
        <v>42.95</v>
      </c>
      <c r="J200" s="7">
        <v>1145040</v>
      </c>
      <c r="K200" s="7">
        <v>26400</v>
      </c>
      <c r="L200" s="7">
        <v>112</v>
      </c>
      <c r="M200" s="7">
        <v>40.6</v>
      </c>
      <c r="N200" s="7">
        <v>43.24</v>
      </c>
      <c r="O200" s="10">
        <v>-2.5000000000000001E-2</v>
      </c>
      <c r="P200" s="8">
        <f t="shared" si="0"/>
        <v>43.239999999999995</v>
      </c>
    </row>
    <row r="201" spans="1:16" ht="15">
      <c r="A201" s="6" t="s">
        <v>17</v>
      </c>
      <c r="B201" s="6" t="s">
        <v>35</v>
      </c>
      <c r="C201" s="6" t="s">
        <v>269</v>
      </c>
      <c r="D201" s="6" t="s">
        <v>270</v>
      </c>
      <c r="E201" s="7">
        <v>62.85</v>
      </c>
      <c r="F201" s="7">
        <v>64.900000000000006</v>
      </c>
      <c r="G201" s="7">
        <v>65.95</v>
      </c>
      <c r="H201" s="7">
        <v>60.05</v>
      </c>
      <c r="I201" s="7">
        <v>65.25</v>
      </c>
      <c r="J201" s="7">
        <v>1139760</v>
      </c>
      <c r="K201" s="7">
        <v>17600</v>
      </c>
      <c r="L201" s="7">
        <v>71.25</v>
      </c>
      <c r="M201" s="7">
        <v>36.9</v>
      </c>
      <c r="N201" s="7">
        <v>63.8</v>
      </c>
      <c r="O201" s="10">
        <v>3.8199999999999998E-2</v>
      </c>
      <c r="P201" s="8">
        <f t="shared" si="0"/>
        <v>63.8</v>
      </c>
    </row>
    <row r="202" spans="1:16" ht="15">
      <c r="A202" s="6" t="s">
        <v>17</v>
      </c>
      <c r="B202" s="6" t="s">
        <v>18</v>
      </c>
      <c r="C202" s="6" t="s">
        <v>112</v>
      </c>
      <c r="D202" s="6" t="s">
        <v>113</v>
      </c>
      <c r="E202" s="7">
        <v>113</v>
      </c>
      <c r="F202" s="7">
        <v>114</v>
      </c>
      <c r="G202" s="7">
        <v>114</v>
      </c>
      <c r="H202" s="7">
        <v>112.45</v>
      </c>
      <c r="I202" s="7">
        <v>113</v>
      </c>
      <c r="J202" s="7">
        <v>1130850</v>
      </c>
      <c r="K202" s="7">
        <v>10000</v>
      </c>
      <c r="L202" s="7">
        <v>123.5</v>
      </c>
      <c r="M202" s="7">
        <v>93.8</v>
      </c>
      <c r="N202" s="7">
        <v>113.29</v>
      </c>
      <c r="O202" s="10">
        <v>0</v>
      </c>
      <c r="P202" s="8">
        <f t="shared" si="0"/>
        <v>113.29</v>
      </c>
    </row>
    <row r="203" spans="1:16" ht="15">
      <c r="A203" s="6" t="s">
        <v>17</v>
      </c>
      <c r="B203" s="6" t="s">
        <v>18</v>
      </c>
      <c r="C203" s="6" t="s">
        <v>471</v>
      </c>
      <c r="D203" s="6" t="s">
        <v>472</v>
      </c>
      <c r="E203" s="7">
        <v>315</v>
      </c>
      <c r="F203" s="7">
        <v>300.14999999999998</v>
      </c>
      <c r="G203" s="7">
        <v>315.95</v>
      </c>
      <c r="H203" s="7">
        <v>300</v>
      </c>
      <c r="I203" s="7">
        <v>315</v>
      </c>
      <c r="J203" s="7">
        <v>1073550</v>
      </c>
      <c r="K203" s="7">
        <v>3500</v>
      </c>
      <c r="L203" s="7">
        <v>436</v>
      </c>
      <c r="M203" s="7">
        <v>258.39999999999998</v>
      </c>
      <c r="N203" s="7">
        <v>309.22000000000003</v>
      </c>
      <c r="O203" s="10">
        <v>0</v>
      </c>
      <c r="P203" s="8">
        <f t="shared" si="0"/>
        <v>309.21999999999997</v>
      </c>
    </row>
    <row r="204" spans="1:16" ht="15">
      <c r="A204" s="6" t="s">
        <v>17</v>
      </c>
      <c r="B204" s="6" t="s">
        <v>18</v>
      </c>
      <c r="C204" s="6" t="s">
        <v>632</v>
      </c>
      <c r="D204" s="6" t="s">
        <v>633</v>
      </c>
      <c r="E204" s="7">
        <v>98.9</v>
      </c>
      <c r="F204" s="7">
        <v>98.85</v>
      </c>
      <c r="G204" s="7">
        <v>99</v>
      </c>
      <c r="H204" s="7">
        <v>98.85</v>
      </c>
      <c r="I204" s="7">
        <v>98.9</v>
      </c>
      <c r="J204" s="7">
        <v>1068600</v>
      </c>
      <c r="K204" s="7">
        <v>10800</v>
      </c>
      <c r="L204" s="7">
        <v>160</v>
      </c>
      <c r="M204" s="7">
        <v>75.150000000000006</v>
      </c>
      <c r="N204" s="7">
        <v>98.9</v>
      </c>
      <c r="O204" s="10">
        <v>0</v>
      </c>
      <c r="P204" s="8">
        <f t="shared" si="0"/>
        <v>98.9</v>
      </c>
    </row>
    <row r="205" spans="1:16" ht="15">
      <c r="A205" s="6" t="s">
        <v>17</v>
      </c>
      <c r="B205" s="6" t="s">
        <v>18</v>
      </c>
      <c r="C205" s="6" t="s">
        <v>565</v>
      </c>
      <c r="D205" s="6" t="s">
        <v>566</v>
      </c>
      <c r="E205" s="7">
        <v>220.3</v>
      </c>
      <c r="F205" s="7">
        <v>218.1</v>
      </c>
      <c r="G205" s="7">
        <v>224</v>
      </c>
      <c r="H205" s="7">
        <v>218</v>
      </c>
      <c r="I205" s="7">
        <v>222</v>
      </c>
      <c r="J205" s="7">
        <v>1053780</v>
      </c>
      <c r="K205" s="7">
        <v>4800</v>
      </c>
      <c r="L205" s="7">
        <v>306.39999999999998</v>
      </c>
      <c r="M205" s="7">
        <v>169</v>
      </c>
      <c r="N205" s="7">
        <v>220.48</v>
      </c>
      <c r="O205" s="10">
        <v>7.7000000000000002E-3</v>
      </c>
      <c r="P205" s="8">
        <f t="shared" si="0"/>
        <v>220.48000000000002</v>
      </c>
    </row>
    <row r="206" spans="1:16" ht="15">
      <c r="A206" s="6" t="s">
        <v>17</v>
      </c>
      <c r="B206" s="6" t="s">
        <v>18</v>
      </c>
      <c r="C206" s="6" t="s">
        <v>198</v>
      </c>
      <c r="D206" s="6" t="s">
        <v>199</v>
      </c>
      <c r="E206" s="7">
        <v>110</v>
      </c>
      <c r="F206" s="7">
        <v>110</v>
      </c>
      <c r="G206" s="7">
        <v>112.9</v>
      </c>
      <c r="H206" s="7">
        <v>107</v>
      </c>
      <c r="I206" s="7">
        <v>109</v>
      </c>
      <c r="J206" s="7">
        <v>1050600</v>
      </c>
      <c r="K206" s="7">
        <v>9600</v>
      </c>
      <c r="L206" s="7">
        <v>220</v>
      </c>
      <c r="M206" s="7">
        <v>107</v>
      </c>
      <c r="N206" s="7">
        <v>109.78</v>
      </c>
      <c r="O206" s="10">
        <v>-9.1000000000000004E-3</v>
      </c>
      <c r="P206" s="8">
        <f t="shared" si="0"/>
        <v>109.78</v>
      </c>
    </row>
    <row r="207" spans="1:16" ht="15">
      <c r="A207" s="6" t="s">
        <v>17</v>
      </c>
      <c r="B207" s="6" t="s">
        <v>18</v>
      </c>
      <c r="C207" s="6" t="s">
        <v>461</v>
      </c>
      <c r="D207" s="6" t="s">
        <v>462</v>
      </c>
      <c r="E207" s="7">
        <v>55.05</v>
      </c>
      <c r="F207" s="7">
        <v>52.55</v>
      </c>
      <c r="G207" s="7">
        <v>54</v>
      </c>
      <c r="H207" s="7">
        <v>51</v>
      </c>
      <c r="I207" s="7">
        <v>52.45</v>
      </c>
      <c r="J207" s="7">
        <v>1023660</v>
      </c>
      <c r="K207" s="7">
        <v>19200</v>
      </c>
      <c r="L207" s="7">
        <v>74.400000000000006</v>
      </c>
      <c r="M207" s="7">
        <v>40.75</v>
      </c>
      <c r="N207" s="7">
        <v>53.01</v>
      </c>
      <c r="O207" s="10">
        <v>-4.7199999999999999E-2</v>
      </c>
      <c r="P207" s="8">
        <f t="shared" si="0"/>
        <v>53.010000000000005</v>
      </c>
    </row>
    <row r="208" spans="1:16" ht="15">
      <c r="A208" s="6" t="s">
        <v>17</v>
      </c>
      <c r="B208" s="6" t="s">
        <v>18</v>
      </c>
      <c r="C208" s="6" t="s">
        <v>184</v>
      </c>
      <c r="D208" s="6" t="s">
        <v>185</v>
      </c>
      <c r="E208" s="7">
        <v>99.8</v>
      </c>
      <c r="F208" s="7">
        <v>98.1</v>
      </c>
      <c r="G208" s="7">
        <v>104.6</v>
      </c>
      <c r="H208" s="7">
        <v>98</v>
      </c>
      <c r="I208" s="7">
        <v>104.6</v>
      </c>
      <c r="J208" s="7">
        <v>1015350</v>
      </c>
      <c r="K208" s="7">
        <v>10000</v>
      </c>
      <c r="L208" s="7">
        <v>147.9</v>
      </c>
      <c r="M208" s="7">
        <v>98</v>
      </c>
      <c r="N208" s="7">
        <v>101.02</v>
      </c>
      <c r="O208" s="10">
        <v>4.8099999999999997E-2</v>
      </c>
      <c r="P208" s="8">
        <f t="shared" si="0"/>
        <v>101.02000000000001</v>
      </c>
    </row>
    <row r="209" spans="1:16" ht="15">
      <c r="A209" s="6" t="s">
        <v>17</v>
      </c>
      <c r="B209" s="6" t="s">
        <v>18</v>
      </c>
      <c r="C209" s="6" t="s">
        <v>40</v>
      </c>
      <c r="D209" s="6" t="s">
        <v>41</v>
      </c>
      <c r="E209" s="7">
        <v>102.15</v>
      </c>
      <c r="F209" s="7">
        <v>98.5</v>
      </c>
      <c r="G209" s="7">
        <v>104.5</v>
      </c>
      <c r="H209" s="7">
        <v>98</v>
      </c>
      <c r="I209" s="7">
        <v>100.75</v>
      </c>
      <c r="J209" s="7">
        <v>1010925</v>
      </c>
      <c r="K209" s="7">
        <v>10000</v>
      </c>
      <c r="L209" s="7">
        <v>321</v>
      </c>
      <c r="M209" s="7">
        <v>98</v>
      </c>
      <c r="N209" s="7">
        <v>100.78</v>
      </c>
      <c r="O209" s="10">
        <v>-1.37E-2</v>
      </c>
      <c r="P209" s="8">
        <f t="shared" si="0"/>
        <v>100.78</v>
      </c>
    </row>
    <row r="210" spans="1:16" ht="15">
      <c r="A210" s="6" t="s">
        <v>17</v>
      </c>
      <c r="B210" s="6" t="s">
        <v>18</v>
      </c>
      <c r="C210" s="6" t="s">
        <v>830</v>
      </c>
      <c r="D210" s="6" t="s">
        <v>831</v>
      </c>
      <c r="E210" s="7">
        <v>245.3</v>
      </c>
      <c r="F210" s="7">
        <v>249.45</v>
      </c>
      <c r="G210" s="7">
        <v>252</v>
      </c>
      <c r="H210" s="7">
        <v>249.45</v>
      </c>
      <c r="I210" s="7">
        <v>252</v>
      </c>
      <c r="J210" s="7">
        <v>1003560</v>
      </c>
      <c r="K210" s="7">
        <v>4000</v>
      </c>
      <c r="L210" s="7">
        <v>425</v>
      </c>
      <c r="M210" s="7">
        <v>193.9</v>
      </c>
      <c r="N210" s="7">
        <v>249.64</v>
      </c>
      <c r="O210" s="10">
        <v>2.7300000000000001E-2</v>
      </c>
      <c r="P210" s="8">
        <f t="shared" si="0"/>
        <v>249.64000000000001</v>
      </c>
    </row>
    <row r="211" spans="1:16" ht="15">
      <c r="A211" s="6" t="s">
        <v>17</v>
      </c>
      <c r="B211" s="6" t="s">
        <v>18</v>
      </c>
      <c r="C211" s="6" t="s">
        <v>678</v>
      </c>
      <c r="D211" s="6" t="s">
        <v>679</v>
      </c>
      <c r="E211" s="7">
        <v>84.9</v>
      </c>
      <c r="F211" s="7">
        <v>84.9</v>
      </c>
      <c r="G211" s="7">
        <v>84.9</v>
      </c>
      <c r="H211" s="7">
        <v>80.55</v>
      </c>
      <c r="I211" s="7">
        <v>81.95</v>
      </c>
      <c r="J211" s="7">
        <v>1002900</v>
      </c>
      <c r="K211" s="7">
        <v>12000</v>
      </c>
      <c r="L211" s="7">
        <v>161</v>
      </c>
      <c r="M211" s="7">
        <v>73</v>
      </c>
      <c r="N211" s="7">
        <v>83.44</v>
      </c>
      <c r="O211" s="10">
        <v>-3.4700000000000002E-2</v>
      </c>
      <c r="P211" s="8">
        <f t="shared" si="0"/>
        <v>83.44</v>
      </c>
    </row>
    <row r="212" spans="1:16" ht="15">
      <c r="A212" s="6" t="s">
        <v>17</v>
      </c>
      <c r="B212" s="6" t="s">
        <v>35</v>
      </c>
      <c r="C212" s="6" t="s">
        <v>590</v>
      </c>
      <c r="D212" s="6" t="s">
        <v>591</v>
      </c>
      <c r="E212" s="7">
        <v>221.8</v>
      </c>
      <c r="F212" s="7">
        <v>221</v>
      </c>
      <c r="G212" s="7">
        <v>229</v>
      </c>
      <c r="H212" s="7">
        <v>218</v>
      </c>
      <c r="I212" s="7">
        <v>228.45</v>
      </c>
      <c r="J212" s="7">
        <v>999450</v>
      </c>
      <c r="K212" s="7">
        <v>4500</v>
      </c>
      <c r="L212" s="7">
        <v>356.75</v>
      </c>
      <c r="M212" s="7">
        <v>14.25</v>
      </c>
      <c r="N212" s="7">
        <v>223.65</v>
      </c>
      <c r="O212" s="10">
        <v>0.03</v>
      </c>
      <c r="P212" s="8">
        <f t="shared" si="0"/>
        <v>223.65</v>
      </c>
    </row>
    <row r="213" spans="1:16" ht="15">
      <c r="A213" s="6" t="s">
        <v>17</v>
      </c>
      <c r="B213" s="6" t="s">
        <v>35</v>
      </c>
      <c r="C213" s="6" t="s">
        <v>826</v>
      </c>
      <c r="D213" s="6" t="s">
        <v>827</v>
      </c>
      <c r="E213" s="7">
        <v>586.65</v>
      </c>
      <c r="F213" s="7">
        <v>572</v>
      </c>
      <c r="G213" s="7">
        <v>572</v>
      </c>
      <c r="H213" s="7">
        <v>570</v>
      </c>
      <c r="I213" s="7">
        <v>570</v>
      </c>
      <c r="J213" s="7">
        <v>998750</v>
      </c>
      <c r="K213" s="7">
        <v>1750</v>
      </c>
      <c r="L213" s="7">
        <v>817.6</v>
      </c>
      <c r="M213" s="7">
        <v>152.55000000000001</v>
      </c>
      <c r="N213" s="7">
        <v>574.13</v>
      </c>
      <c r="O213" s="10">
        <v>-2.8400000000000002E-2</v>
      </c>
      <c r="P213" s="8">
        <f t="shared" si="0"/>
        <v>574.13</v>
      </c>
    </row>
    <row r="214" spans="1:16" ht="15">
      <c r="A214" s="6" t="s">
        <v>17</v>
      </c>
      <c r="B214" s="6" t="s">
        <v>18</v>
      </c>
      <c r="C214" s="6" t="s">
        <v>842</v>
      </c>
      <c r="D214" s="6" t="s">
        <v>843</v>
      </c>
      <c r="E214" s="7">
        <v>88.85</v>
      </c>
      <c r="F214" s="7">
        <v>88</v>
      </c>
      <c r="G214" s="7">
        <v>88.6</v>
      </c>
      <c r="H214" s="7">
        <v>88</v>
      </c>
      <c r="I214" s="7">
        <v>88.15</v>
      </c>
      <c r="J214" s="7">
        <v>987760</v>
      </c>
      <c r="K214" s="7">
        <v>11200</v>
      </c>
      <c r="L214" s="7">
        <v>137</v>
      </c>
      <c r="M214" s="7">
        <v>77.150000000000006</v>
      </c>
      <c r="N214" s="7">
        <v>88.32</v>
      </c>
      <c r="O214" s="10">
        <v>-7.9000000000000008E-3</v>
      </c>
      <c r="P214" s="8">
        <f t="shared" si="0"/>
        <v>88.320000000000007</v>
      </c>
    </row>
    <row r="215" spans="1:16" ht="15">
      <c r="A215" s="6" t="s">
        <v>17</v>
      </c>
      <c r="B215" s="6" t="s">
        <v>18</v>
      </c>
      <c r="C215" s="6" t="s">
        <v>896</v>
      </c>
      <c r="D215" s="6" t="s">
        <v>897</v>
      </c>
      <c r="E215" s="7">
        <v>63.1</v>
      </c>
      <c r="F215" s="7">
        <v>63.1</v>
      </c>
      <c r="G215" s="7">
        <v>67</v>
      </c>
      <c r="H215" s="7">
        <v>57.5</v>
      </c>
      <c r="I215" s="7">
        <v>59.1</v>
      </c>
      <c r="J215" s="7">
        <v>986400</v>
      </c>
      <c r="K215" s="7">
        <v>16000</v>
      </c>
      <c r="L215" s="7">
        <v>98</v>
      </c>
      <c r="M215" s="7">
        <v>57.5</v>
      </c>
      <c r="N215" s="7">
        <v>61.96</v>
      </c>
      <c r="O215" s="10">
        <v>-6.3399999999999998E-2</v>
      </c>
      <c r="P215" s="8">
        <f t="shared" si="0"/>
        <v>61.96</v>
      </c>
    </row>
    <row r="216" spans="1:16" ht="15">
      <c r="A216" s="6" t="s">
        <v>17</v>
      </c>
      <c r="B216" s="6" t="s">
        <v>18</v>
      </c>
      <c r="C216" s="6" t="s">
        <v>634</v>
      </c>
      <c r="D216" s="6" t="s">
        <v>635</v>
      </c>
      <c r="E216" s="7">
        <v>32.4</v>
      </c>
      <c r="F216" s="7">
        <v>32.799999999999997</v>
      </c>
      <c r="G216" s="7">
        <v>34.75</v>
      </c>
      <c r="H216" s="7">
        <v>31.95</v>
      </c>
      <c r="I216" s="7">
        <v>33.9</v>
      </c>
      <c r="J216" s="7">
        <v>976240</v>
      </c>
      <c r="K216" s="7">
        <v>29800</v>
      </c>
      <c r="L216" s="7">
        <v>53.9</v>
      </c>
      <c r="M216" s="7">
        <v>25.55</v>
      </c>
      <c r="N216" s="7">
        <v>33.159999999999997</v>
      </c>
      <c r="O216" s="10">
        <v>4.6300000000000001E-2</v>
      </c>
      <c r="P216" s="8">
        <f t="shared" si="0"/>
        <v>33.159999999999997</v>
      </c>
    </row>
    <row r="217" spans="1:16" ht="15">
      <c r="A217" s="6" t="s">
        <v>17</v>
      </c>
      <c r="B217" s="6" t="s">
        <v>18</v>
      </c>
      <c r="C217" s="6" t="s">
        <v>858</v>
      </c>
      <c r="D217" s="6" t="s">
        <v>859</v>
      </c>
      <c r="E217" s="7">
        <v>35.9</v>
      </c>
      <c r="F217" s="7">
        <v>34</v>
      </c>
      <c r="G217" s="7">
        <v>35.299999999999997</v>
      </c>
      <c r="H217" s="7">
        <v>34</v>
      </c>
      <c r="I217" s="7">
        <v>34.75</v>
      </c>
      <c r="J217" s="7">
        <v>963700</v>
      </c>
      <c r="K217" s="7">
        <v>28000</v>
      </c>
      <c r="L217" s="7">
        <v>79.3</v>
      </c>
      <c r="M217" s="7">
        <v>34</v>
      </c>
      <c r="N217" s="7">
        <v>34.79</v>
      </c>
      <c r="O217" s="10">
        <v>-3.2000000000000001E-2</v>
      </c>
      <c r="P217" s="8">
        <f t="shared" si="0"/>
        <v>34.79</v>
      </c>
    </row>
    <row r="218" spans="1:16" ht="15">
      <c r="A218" s="6" t="s">
        <v>17</v>
      </c>
      <c r="B218" s="6" t="s">
        <v>18</v>
      </c>
      <c r="C218" s="6" t="s">
        <v>940</v>
      </c>
      <c r="D218" s="6" t="s">
        <v>941</v>
      </c>
      <c r="E218" s="7">
        <v>47</v>
      </c>
      <c r="F218" s="7">
        <v>45.15</v>
      </c>
      <c r="G218" s="7">
        <v>56.35</v>
      </c>
      <c r="H218" s="7">
        <v>45.15</v>
      </c>
      <c r="I218" s="7">
        <v>54.8</v>
      </c>
      <c r="J218" s="7">
        <v>956600</v>
      </c>
      <c r="K218" s="7">
        <v>18400</v>
      </c>
      <c r="L218" s="7">
        <v>107</v>
      </c>
      <c r="M218" s="7">
        <v>45</v>
      </c>
      <c r="N218" s="7">
        <v>49.69</v>
      </c>
      <c r="O218" s="10">
        <v>0.16600000000000001</v>
      </c>
      <c r="P218" s="8">
        <f t="shared" si="0"/>
        <v>49.69</v>
      </c>
    </row>
    <row r="219" spans="1:16" ht="15">
      <c r="A219" s="6" t="s">
        <v>17</v>
      </c>
      <c r="B219" s="6" t="s">
        <v>18</v>
      </c>
      <c r="C219" s="6" t="s">
        <v>700</v>
      </c>
      <c r="D219" s="6" t="s">
        <v>701</v>
      </c>
      <c r="E219" s="7">
        <v>46.9</v>
      </c>
      <c r="F219" s="7">
        <v>45</v>
      </c>
      <c r="G219" s="7">
        <v>46.9</v>
      </c>
      <c r="H219" s="7">
        <v>44.6</v>
      </c>
      <c r="I219" s="7">
        <v>44.75</v>
      </c>
      <c r="J219" s="7">
        <v>947100</v>
      </c>
      <c r="K219" s="7">
        <v>21000</v>
      </c>
      <c r="L219" s="7">
        <v>77</v>
      </c>
      <c r="M219" s="7">
        <v>43.8</v>
      </c>
      <c r="N219" s="7">
        <v>45.63</v>
      </c>
      <c r="O219" s="10">
        <v>-4.58E-2</v>
      </c>
      <c r="P219" s="8">
        <f t="shared" si="0"/>
        <v>45.63</v>
      </c>
    </row>
    <row r="220" spans="1:16" ht="15">
      <c r="A220" s="6" t="s">
        <v>17</v>
      </c>
      <c r="B220" s="6" t="s">
        <v>18</v>
      </c>
      <c r="C220" s="6" t="s">
        <v>947</v>
      </c>
      <c r="D220" s="6" t="s">
        <v>948</v>
      </c>
      <c r="E220" s="7">
        <v>47</v>
      </c>
      <c r="F220" s="7">
        <v>44.05</v>
      </c>
      <c r="G220" s="7">
        <v>48</v>
      </c>
      <c r="H220" s="7">
        <v>44.05</v>
      </c>
      <c r="I220" s="7">
        <v>47</v>
      </c>
      <c r="J220" s="7">
        <v>942100</v>
      </c>
      <c r="K220" s="7">
        <v>20000</v>
      </c>
      <c r="L220" s="7">
        <v>85</v>
      </c>
      <c r="M220" s="7">
        <v>44.05</v>
      </c>
      <c r="N220" s="7">
        <v>46.02</v>
      </c>
      <c r="O220" s="10">
        <v>0</v>
      </c>
      <c r="P220" s="8">
        <f t="shared" si="0"/>
        <v>46.02</v>
      </c>
    </row>
    <row r="221" spans="1:16" ht="15">
      <c r="A221" s="6" t="s">
        <v>17</v>
      </c>
      <c r="B221" s="6" t="s">
        <v>18</v>
      </c>
      <c r="C221" s="6" t="s">
        <v>553</v>
      </c>
      <c r="D221" s="6" t="s">
        <v>554</v>
      </c>
      <c r="E221" s="7">
        <v>197.85</v>
      </c>
      <c r="F221" s="7">
        <v>195</v>
      </c>
      <c r="G221" s="7">
        <v>199</v>
      </c>
      <c r="H221" s="7">
        <v>185</v>
      </c>
      <c r="I221" s="7">
        <v>199</v>
      </c>
      <c r="J221" s="7">
        <v>937770</v>
      </c>
      <c r="K221" s="7">
        <v>4800</v>
      </c>
      <c r="L221" s="7">
        <v>294</v>
      </c>
      <c r="M221" s="7">
        <v>145</v>
      </c>
      <c r="N221" s="7">
        <v>195.17</v>
      </c>
      <c r="O221" s="10">
        <v>5.7999999999999996E-3</v>
      </c>
      <c r="P221" s="8">
        <f t="shared" si="0"/>
        <v>195.17000000000002</v>
      </c>
    </row>
    <row r="222" spans="1:16" ht="15">
      <c r="A222" s="6" t="s">
        <v>17</v>
      </c>
      <c r="B222" s="6" t="s">
        <v>18</v>
      </c>
      <c r="C222" s="6" t="s">
        <v>682</v>
      </c>
      <c r="D222" s="6" t="s">
        <v>683</v>
      </c>
      <c r="E222" s="7">
        <v>189.25</v>
      </c>
      <c r="F222" s="7">
        <v>190</v>
      </c>
      <c r="G222" s="7">
        <v>190.5</v>
      </c>
      <c r="H222" s="7">
        <v>188</v>
      </c>
      <c r="I222" s="7">
        <v>190.25</v>
      </c>
      <c r="J222" s="7">
        <v>909900</v>
      </c>
      <c r="K222" s="7">
        <v>4800</v>
      </c>
      <c r="L222" s="7">
        <v>217.7</v>
      </c>
      <c r="M222" s="7">
        <v>118</v>
      </c>
      <c r="N222" s="7">
        <v>189.6</v>
      </c>
      <c r="O222" s="10">
        <v>5.3E-3</v>
      </c>
      <c r="P222" s="8">
        <f t="shared" si="0"/>
        <v>189.6</v>
      </c>
    </row>
    <row r="223" spans="1:16" ht="15">
      <c r="A223" s="6" t="s">
        <v>17</v>
      </c>
      <c r="B223" s="6" t="s">
        <v>35</v>
      </c>
      <c r="C223" s="6" t="s">
        <v>910</v>
      </c>
      <c r="D223" s="6" t="s">
        <v>911</v>
      </c>
      <c r="E223" s="7">
        <v>133.55000000000001</v>
      </c>
      <c r="F223" s="7">
        <v>134.80000000000001</v>
      </c>
      <c r="G223" s="7">
        <v>134.80000000000001</v>
      </c>
      <c r="H223" s="7">
        <v>126.9</v>
      </c>
      <c r="I223" s="7">
        <v>126.9</v>
      </c>
      <c r="J223" s="7">
        <v>904500</v>
      </c>
      <c r="K223" s="7">
        <v>7000</v>
      </c>
      <c r="L223" s="7">
        <v>145</v>
      </c>
      <c r="M223" s="7">
        <v>34</v>
      </c>
      <c r="N223" s="7">
        <v>131.38999999999999</v>
      </c>
      <c r="O223" s="10">
        <v>-4.9799999999999997E-2</v>
      </c>
      <c r="P223" s="8">
        <f t="shared" si="0"/>
        <v>131.39000000000001</v>
      </c>
    </row>
    <row r="224" spans="1:16" ht="15">
      <c r="A224" s="6" t="s">
        <v>17</v>
      </c>
      <c r="B224" s="6" t="s">
        <v>18</v>
      </c>
      <c r="C224" s="6" t="s">
        <v>856</v>
      </c>
      <c r="D224" s="6" t="s">
        <v>857</v>
      </c>
      <c r="E224" s="7">
        <v>40.25</v>
      </c>
      <c r="F224" s="7">
        <v>39.25</v>
      </c>
      <c r="G224" s="7">
        <v>43</v>
      </c>
      <c r="H224" s="7">
        <v>38</v>
      </c>
      <c r="I224" s="7">
        <v>42.15</v>
      </c>
      <c r="J224" s="7">
        <v>865290</v>
      </c>
      <c r="K224" s="7">
        <v>21000</v>
      </c>
      <c r="L224" s="7">
        <v>120</v>
      </c>
      <c r="M224" s="7">
        <v>38</v>
      </c>
      <c r="N224" s="7">
        <v>40.53</v>
      </c>
      <c r="O224" s="10">
        <v>4.7199999999999999E-2</v>
      </c>
      <c r="P224" s="8">
        <f t="shared" si="0"/>
        <v>40.53</v>
      </c>
    </row>
    <row r="225" spans="1:16" ht="15">
      <c r="A225" s="6" t="s">
        <v>17</v>
      </c>
      <c r="B225" s="6" t="s">
        <v>18</v>
      </c>
      <c r="C225" s="6" t="s">
        <v>217</v>
      </c>
      <c r="D225" s="6" t="s">
        <v>218</v>
      </c>
      <c r="E225" s="7">
        <v>52.7</v>
      </c>
      <c r="F225" s="7">
        <v>52.9</v>
      </c>
      <c r="G225" s="7">
        <v>54.45</v>
      </c>
      <c r="H225" s="7">
        <v>52.9</v>
      </c>
      <c r="I225" s="7">
        <v>53.6</v>
      </c>
      <c r="J225" s="7">
        <v>853525</v>
      </c>
      <c r="K225" s="7">
        <v>16000</v>
      </c>
      <c r="L225" s="7">
        <v>166.3</v>
      </c>
      <c r="M225" s="7">
        <v>50.55</v>
      </c>
      <c r="N225" s="7">
        <v>53.31</v>
      </c>
      <c r="O225" s="10">
        <v>1.7100000000000001E-2</v>
      </c>
      <c r="P225" s="8">
        <f t="shared" si="0"/>
        <v>53.31</v>
      </c>
    </row>
    <row r="226" spans="1:16" ht="15">
      <c r="A226" s="6" t="s">
        <v>17</v>
      </c>
      <c r="B226" s="6" t="s">
        <v>18</v>
      </c>
      <c r="C226" s="6" t="s">
        <v>379</v>
      </c>
      <c r="D226" s="6" t="s">
        <v>380</v>
      </c>
      <c r="E226" s="7">
        <v>118.85</v>
      </c>
      <c r="F226" s="7">
        <v>118.85</v>
      </c>
      <c r="G226" s="7">
        <v>118.85</v>
      </c>
      <c r="H226" s="7">
        <v>115</v>
      </c>
      <c r="I226" s="7">
        <v>116.9</v>
      </c>
      <c r="J226" s="7">
        <v>843180</v>
      </c>
      <c r="K226" s="7">
        <v>7200</v>
      </c>
      <c r="L226" s="7">
        <v>153.1</v>
      </c>
      <c r="M226" s="7">
        <v>60.6</v>
      </c>
      <c r="N226" s="7">
        <v>117.69</v>
      </c>
      <c r="O226" s="10">
        <v>-1.6400000000000001E-2</v>
      </c>
      <c r="P226" s="8">
        <f t="shared" si="0"/>
        <v>117.68999999999998</v>
      </c>
    </row>
    <row r="227" spans="1:16" ht="15">
      <c r="A227" s="6" t="s">
        <v>17</v>
      </c>
      <c r="B227" s="6" t="s">
        <v>18</v>
      </c>
      <c r="C227" s="6" t="s">
        <v>227</v>
      </c>
      <c r="D227" s="6" t="s">
        <v>228</v>
      </c>
      <c r="E227" s="7">
        <v>37.799999999999997</v>
      </c>
      <c r="F227" s="7">
        <v>39</v>
      </c>
      <c r="G227" s="7">
        <v>39</v>
      </c>
      <c r="H227" s="7">
        <v>36.25</v>
      </c>
      <c r="I227" s="7">
        <v>36.5</v>
      </c>
      <c r="J227" s="7">
        <v>832400</v>
      </c>
      <c r="K227" s="7">
        <v>22000</v>
      </c>
      <c r="L227" s="7">
        <v>58</v>
      </c>
      <c r="M227" s="7">
        <v>30.55</v>
      </c>
      <c r="N227" s="7">
        <v>37.71</v>
      </c>
      <c r="O227" s="10">
        <v>-3.44E-2</v>
      </c>
      <c r="P227" s="8">
        <f t="shared" si="0"/>
        <v>37.71</v>
      </c>
    </row>
    <row r="228" spans="1:16" ht="15">
      <c r="A228" s="6" t="s">
        <v>17</v>
      </c>
      <c r="B228" s="6" t="s">
        <v>18</v>
      </c>
      <c r="C228" s="6" t="s">
        <v>415</v>
      </c>
      <c r="D228" s="6" t="s">
        <v>416</v>
      </c>
      <c r="E228" s="7">
        <v>39.049999999999997</v>
      </c>
      <c r="F228" s="7">
        <v>37</v>
      </c>
      <c r="G228" s="7">
        <v>39.950000000000003</v>
      </c>
      <c r="H228" s="7">
        <v>37</v>
      </c>
      <c r="I228" s="7">
        <v>38.950000000000003</v>
      </c>
      <c r="J228" s="7">
        <v>831000</v>
      </c>
      <c r="K228" s="7">
        <v>21600</v>
      </c>
      <c r="L228" s="7">
        <v>85</v>
      </c>
      <c r="M228" s="7">
        <v>35.25</v>
      </c>
      <c r="N228" s="7">
        <v>38.39</v>
      </c>
      <c r="O228" s="10">
        <v>-2.5999999999999999E-3</v>
      </c>
      <c r="P228" s="8">
        <f t="shared" si="0"/>
        <v>38.39</v>
      </c>
    </row>
    <row r="229" spans="1:16" ht="15">
      <c r="A229" s="6" t="s">
        <v>17</v>
      </c>
      <c r="B229" s="6" t="s">
        <v>18</v>
      </c>
      <c r="C229" s="6" t="s">
        <v>724</v>
      </c>
      <c r="D229" s="6" t="s">
        <v>725</v>
      </c>
      <c r="E229" s="7">
        <v>62.75</v>
      </c>
      <c r="F229" s="7">
        <v>69.900000000000006</v>
      </c>
      <c r="G229" s="7">
        <v>69.900000000000006</v>
      </c>
      <c r="H229" s="7">
        <v>66</v>
      </c>
      <c r="I229" s="7">
        <v>66.25</v>
      </c>
      <c r="J229" s="7">
        <v>812600</v>
      </c>
      <c r="K229" s="7">
        <v>12000</v>
      </c>
      <c r="L229" s="7">
        <v>95.55</v>
      </c>
      <c r="M229" s="7">
        <v>62.05</v>
      </c>
      <c r="N229" s="7">
        <v>66.959999999999994</v>
      </c>
      <c r="O229" s="10">
        <v>5.5800000000000002E-2</v>
      </c>
      <c r="P229" s="8">
        <f t="shared" si="0"/>
        <v>66.960000000000008</v>
      </c>
    </row>
    <row r="230" spans="1:16" ht="15">
      <c r="A230" s="6" t="s">
        <v>17</v>
      </c>
      <c r="B230" s="6" t="s">
        <v>18</v>
      </c>
      <c r="C230" s="6" t="s">
        <v>102</v>
      </c>
      <c r="D230" s="6" t="s">
        <v>103</v>
      </c>
      <c r="E230" s="7">
        <v>29.9</v>
      </c>
      <c r="F230" s="7">
        <v>29.8</v>
      </c>
      <c r="G230" s="7">
        <v>29.8</v>
      </c>
      <c r="H230" s="7">
        <v>29</v>
      </c>
      <c r="I230" s="7">
        <v>29.15</v>
      </c>
      <c r="J230" s="7">
        <v>809640</v>
      </c>
      <c r="K230" s="7">
        <v>27600</v>
      </c>
      <c r="L230" s="7">
        <v>115.35</v>
      </c>
      <c r="M230" s="7">
        <v>29</v>
      </c>
      <c r="N230" s="7">
        <v>29.53</v>
      </c>
      <c r="O230" s="10">
        <v>-2.5100000000000001E-2</v>
      </c>
      <c r="P230" s="8">
        <f t="shared" si="0"/>
        <v>29.53</v>
      </c>
    </row>
    <row r="231" spans="1:16" ht="15">
      <c r="A231" s="6" t="s">
        <v>17</v>
      </c>
      <c r="B231" s="6" t="s">
        <v>18</v>
      </c>
      <c r="C231" s="6" t="s">
        <v>760</v>
      </c>
      <c r="D231" s="6" t="s">
        <v>761</v>
      </c>
      <c r="E231" s="7">
        <v>96</v>
      </c>
      <c r="F231" s="7">
        <v>100.8</v>
      </c>
      <c r="G231" s="7">
        <v>100.8</v>
      </c>
      <c r="H231" s="7">
        <v>99</v>
      </c>
      <c r="I231" s="7">
        <v>99</v>
      </c>
      <c r="J231" s="7">
        <v>802800</v>
      </c>
      <c r="K231" s="7">
        <v>8000</v>
      </c>
      <c r="L231" s="7">
        <v>112.1</v>
      </c>
      <c r="M231" s="7">
        <v>50.65</v>
      </c>
      <c r="N231" s="7">
        <v>99.12</v>
      </c>
      <c r="O231" s="10">
        <v>3.1300000000000001E-2</v>
      </c>
      <c r="P231" s="8">
        <f t="shared" si="0"/>
        <v>99.12</v>
      </c>
    </row>
    <row r="232" spans="1:16" ht="15">
      <c r="A232" s="6" t="s">
        <v>17</v>
      </c>
      <c r="B232" s="6" t="s">
        <v>18</v>
      </c>
      <c r="C232" s="6" t="s">
        <v>672</v>
      </c>
      <c r="D232" s="6" t="s">
        <v>673</v>
      </c>
      <c r="E232" s="7">
        <v>34.5</v>
      </c>
      <c r="F232" s="7">
        <v>34.5</v>
      </c>
      <c r="G232" s="7">
        <v>36.299999999999997</v>
      </c>
      <c r="H232" s="7">
        <v>34.5</v>
      </c>
      <c r="I232" s="7">
        <v>35</v>
      </c>
      <c r="J232" s="7">
        <v>787440</v>
      </c>
      <c r="K232" s="7">
        <v>22400</v>
      </c>
      <c r="L232" s="7">
        <v>79</v>
      </c>
      <c r="M232" s="7">
        <v>33.700000000000003</v>
      </c>
      <c r="N232" s="7">
        <v>34.96</v>
      </c>
      <c r="O232" s="10">
        <v>1.4500000000000001E-2</v>
      </c>
      <c r="P232" s="8">
        <f t="shared" si="0"/>
        <v>34.96</v>
      </c>
    </row>
    <row r="233" spans="1:16" ht="15">
      <c r="A233" s="6" t="s">
        <v>17</v>
      </c>
      <c r="B233" s="6" t="s">
        <v>18</v>
      </c>
      <c r="C233" s="6" t="s">
        <v>730</v>
      </c>
      <c r="D233" s="6" t="s">
        <v>731</v>
      </c>
      <c r="E233" s="7">
        <v>67.5</v>
      </c>
      <c r="F233" s="7">
        <v>66</v>
      </c>
      <c r="G233" s="7">
        <v>67</v>
      </c>
      <c r="H233" s="7">
        <v>64.5</v>
      </c>
      <c r="I233" s="7">
        <v>67</v>
      </c>
      <c r="J233" s="7">
        <v>786825</v>
      </c>
      <c r="K233" s="7">
        <v>12000</v>
      </c>
      <c r="L233" s="7">
        <v>98.75</v>
      </c>
      <c r="M233" s="7">
        <v>41.2</v>
      </c>
      <c r="N233" s="7">
        <v>66.400000000000006</v>
      </c>
      <c r="O233" s="10">
        <v>-7.4000000000000003E-3</v>
      </c>
      <c r="P233" s="8">
        <f t="shared" si="0"/>
        <v>66.400000000000006</v>
      </c>
    </row>
    <row r="234" spans="1:16" ht="15">
      <c r="A234" s="6" t="s">
        <v>17</v>
      </c>
      <c r="B234" s="6" t="s">
        <v>18</v>
      </c>
      <c r="C234" s="6" t="s">
        <v>656</v>
      </c>
      <c r="D234" s="6" t="s">
        <v>657</v>
      </c>
      <c r="E234" s="7">
        <v>636.54999999999995</v>
      </c>
      <c r="F234" s="7">
        <v>681.95</v>
      </c>
      <c r="G234" s="7">
        <v>681.95</v>
      </c>
      <c r="H234" s="7">
        <v>645</v>
      </c>
      <c r="I234" s="7">
        <v>646</v>
      </c>
      <c r="J234" s="7">
        <v>784230</v>
      </c>
      <c r="K234" s="7">
        <v>1200</v>
      </c>
      <c r="L234" s="7">
        <v>2419.9499999999998</v>
      </c>
      <c r="M234" s="7">
        <v>611.04999999999995</v>
      </c>
      <c r="N234" s="7">
        <v>658.29</v>
      </c>
      <c r="O234" s="10">
        <v>1.4800000000000001E-2</v>
      </c>
      <c r="P234" s="8">
        <f t="shared" si="0"/>
        <v>658.29</v>
      </c>
    </row>
    <row r="235" spans="1:16" ht="15">
      <c r="A235" s="6" t="s">
        <v>17</v>
      </c>
      <c r="B235" s="6" t="s">
        <v>35</v>
      </c>
      <c r="C235" s="6" t="s">
        <v>696</v>
      </c>
      <c r="D235" s="6" t="s">
        <v>697</v>
      </c>
      <c r="E235" s="7">
        <v>47.6</v>
      </c>
      <c r="F235" s="7">
        <v>46.65</v>
      </c>
      <c r="G235" s="7">
        <v>49.45</v>
      </c>
      <c r="H235" s="7">
        <v>46.65</v>
      </c>
      <c r="I235" s="7">
        <v>49.45</v>
      </c>
      <c r="J235" s="7">
        <v>777800</v>
      </c>
      <c r="K235" s="7">
        <v>16000</v>
      </c>
      <c r="L235" s="7">
        <v>51.3</v>
      </c>
      <c r="M235" s="7">
        <v>28.8</v>
      </c>
      <c r="N235" s="7">
        <v>47.96</v>
      </c>
      <c r="O235" s="10">
        <v>3.8899999999999997E-2</v>
      </c>
      <c r="P235" s="8">
        <f t="shared" si="0"/>
        <v>47.96</v>
      </c>
    </row>
    <row r="236" spans="1:16" ht="15">
      <c r="A236" s="6" t="s">
        <v>17</v>
      </c>
      <c r="B236" s="6" t="s">
        <v>18</v>
      </c>
      <c r="C236" s="6" t="s">
        <v>592</v>
      </c>
      <c r="D236" s="6" t="s">
        <v>593</v>
      </c>
      <c r="E236" s="7">
        <v>181</v>
      </c>
      <c r="F236" s="7">
        <v>180.9</v>
      </c>
      <c r="G236" s="7">
        <v>189</v>
      </c>
      <c r="H236" s="7">
        <v>180.9</v>
      </c>
      <c r="I236" s="7">
        <v>185.05</v>
      </c>
      <c r="J236" s="7">
        <v>776730</v>
      </c>
      <c r="K236" s="7">
        <v>4200</v>
      </c>
      <c r="L236" s="7">
        <v>420</v>
      </c>
      <c r="M236" s="7">
        <v>163.19999999999999</v>
      </c>
      <c r="N236" s="7">
        <v>183.37</v>
      </c>
      <c r="O236" s="10">
        <v>2.24E-2</v>
      </c>
      <c r="P236" s="8">
        <f t="shared" si="0"/>
        <v>183.36999999999998</v>
      </c>
    </row>
    <row r="237" spans="1:16" ht="15">
      <c r="A237" s="6" t="s">
        <v>17</v>
      </c>
      <c r="B237" s="6" t="s">
        <v>18</v>
      </c>
      <c r="C237" s="6" t="s">
        <v>870</v>
      </c>
      <c r="D237" s="6" t="s">
        <v>871</v>
      </c>
      <c r="E237" s="7">
        <v>138</v>
      </c>
      <c r="F237" s="7">
        <v>138</v>
      </c>
      <c r="G237" s="7">
        <v>138.5</v>
      </c>
      <c r="H237" s="7">
        <v>138</v>
      </c>
      <c r="I237" s="7">
        <v>138.5</v>
      </c>
      <c r="J237" s="7">
        <v>773240</v>
      </c>
      <c r="K237" s="7">
        <v>5600</v>
      </c>
      <c r="L237" s="7">
        <v>590</v>
      </c>
      <c r="M237" s="7">
        <v>134.30000000000001</v>
      </c>
      <c r="N237" s="7">
        <v>138.19999999999999</v>
      </c>
      <c r="O237" s="10">
        <v>3.5999999999999999E-3</v>
      </c>
      <c r="P237" s="8">
        <f t="shared" si="0"/>
        <v>138.19999999999999</v>
      </c>
    </row>
    <row r="238" spans="1:16" ht="15">
      <c r="A238" s="6" t="s">
        <v>17</v>
      </c>
      <c r="B238" s="6" t="s">
        <v>18</v>
      </c>
      <c r="C238" s="6" t="s">
        <v>235</v>
      </c>
      <c r="D238" s="6" t="s">
        <v>236</v>
      </c>
      <c r="E238" s="7">
        <v>131.94999999999999</v>
      </c>
      <c r="F238" s="7">
        <v>128</v>
      </c>
      <c r="G238" s="7">
        <v>128.5</v>
      </c>
      <c r="H238" s="7">
        <v>128</v>
      </c>
      <c r="I238" s="7">
        <v>128.15</v>
      </c>
      <c r="J238" s="7">
        <v>768500</v>
      </c>
      <c r="K238" s="7">
        <v>6000</v>
      </c>
      <c r="L238" s="7">
        <v>143.9</v>
      </c>
      <c r="M238" s="7">
        <v>115</v>
      </c>
      <c r="N238" s="7">
        <v>128.91999999999999</v>
      </c>
      <c r="O238" s="10">
        <v>-2.8799999999999999E-2</v>
      </c>
      <c r="P238" s="8">
        <f t="shared" si="0"/>
        <v>128.92000000000002</v>
      </c>
    </row>
    <row r="239" spans="1:16" ht="15">
      <c r="A239" s="6" t="s">
        <v>17</v>
      </c>
      <c r="B239" s="6" t="s">
        <v>18</v>
      </c>
      <c r="C239" s="6" t="s">
        <v>604</v>
      </c>
      <c r="D239" s="6" t="s">
        <v>605</v>
      </c>
      <c r="E239" s="7">
        <v>36.1</v>
      </c>
      <c r="F239" s="7">
        <v>36</v>
      </c>
      <c r="G239" s="7">
        <v>36.950000000000003</v>
      </c>
      <c r="H239" s="7">
        <v>36</v>
      </c>
      <c r="I239" s="7">
        <v>36.950000000000003</v>
      </c>
      <c r="J239" s="7">
        <v>761550</v>
      </c>
      <c r="K239" s="7">
        <v>21000</v>
      </c>
      <c r="L239" s="7">
        <v>44.25</v>
      </c>
      <c r="M239" s="7">
        <v>26.05</v>
      </c>
      <c r="N239" s="7">
        <v>36.4</v>
      </c>
      <c r="O239" s="10">
        <v>2.35E-2</v>
      </c>
      <c r="P239" s="8">
        <f t="shared" si="0"/>
        <v>36.4</v>
      </c>
    </row>
    <row r="240" spans="1:16" ht="15">
      <c r="A240" s="6" t="s">
        <v>17</v>
      </c>
      <c r="B240" s="6" t="s">
        <v>18</v>
      </c>
      <c r="C240" s="6" t="s">
        <v>513</v>
      </c>
      <c r="D240" s="6" t="s">
        <v>514</v>
      </c>
      <c r="E240" s="7">
        <v>13.25</v>
      </c>
      <c r="F240" s="7">
        <v>13.55</v>
      </c>
      <c r="G240" s="7">
        <v>13.9</v>
      </c>
      <c r="H240" s="7">
        <v>13.55</v>
      </c>
      <c r="I240" s="7">
        <v>13.9</v>
      </c>
      <c r="J240" s="7">
        <v>747300</v>
      </c>
      <c r="K240" s="7">
        <v>54000</v>
      </c>
      <c r="L240" s="7">
        <v>43.05</v>
      </c>
      <c r="M240" s="7">
        <v>10.95</v>
      </c>
      <c r="N240" s="7">
        <v>13.63</v>
      </c>
      <c r="O240" s="10">
        <v>4.9099999999999998E-2</v>
      </c>
      <c r="P240" s="8">
        <f t="shared" si="0"/>
        <v>13.63</v>
      </c>
    </row>
    <row r="241" spans="1:16" ht="15">
      <c r="A241" s="6" t="s">
        <v>17</v>
      </c>
      <c r="B241" s="6" t="s">
        <v>18</v>
      </c>
      <c r="C241" s="6" t="s">
        <v>44</v>
      </c>
      <c r="D241" s="6" t="s">
        <v>45</v>
      </c>
      <c r="E241" s="7">
        <v>95</v>
      </c>
      <c r="F241" s="7">
        <v>95.25</v>
      </c>
      <c r="G241" s="7">
        <v>96</v>
      </c>
      <c r="H241" s="7">
        <v>92.3</v>
      </c>
      <c r="I241" s="7">
        <v>96</v>
      </c>
      <c r="J241" s="7">
        <v>747050</v>
      </c>
      <c r="K241" s="7">
        <v>8000</v>
      </c>
      <c r="L241" s="7">
        <v>167.6</v>
      </c>
      <c r="M241" s="7">
        <v>89.05</v>
      </c>
      <c r="N241" s="7">
        <v>94.91</v>
      </c>
      <c r="O241" s="10">
        <v>1.0500000000000001E-2</v>
      </c>
      <c r="P241" s="8">
        <f t="shared" si="0"/>
        <v>94.91</v>
      </c>
    </row>
    <row r="242" spans="1:16" ht="15">
      <c r="A242" s="6" t="s">
        <v>17</v>
      </c>
      <c r="B242" s="6" t="s">
        <v>18</v>
      </c>
      <c r="C242" s="6" t="s">
        <v>116</v>
      </c>
      <c r="D242" s="6" t="s">
        <v>117</v>
      </c>
      <c r="E242" s="7">
        <v>114.95</v>
      </c>
      <c r="F242" s="7">
        <v>115</v>
      </c>
      <c r="G242" s="7">
        <v>117.95</v>
      </c>
      <c r="H242" s="7">
        <v>115</v>
      </c>
      <c r="I242" s="7">
        <v>117</v>
      </c>
      <c r="J242" s="7">
        <v>744720</v>
      </c>
      <c r="K242" s="7">
        <v>6400</v>
      </c>
      <c r="L242" s="7">
        <v>139</v>
      </c>
      <c r="M242" s="7">
        <v>95.75</v>
      </c>
      <c r="N242" s="7">
        <v>115.98</v>
      </c>
      <c r="O242" s="10">
        <v>1.78E-2</v>
      </c>
      <c r="P242" s="8">
        <f t="shared" si="0"/>
        <v>115.97999999999999</v>
      </c>
    </row>
    <row r="243" spans="1:16" ht="15">
      <c r="A243" s="6" t="s">
        <v>17</v>
      </c>
      <c r="B243" s="6" t="s">
        <v>18</v>
      </c>
      <c r="C243" s="6" t="s">
        <v>531</v>
      </c>
      <c r="D243" s="6" t="s">
        <v>532</v>
      </c>
      <c r="E243" s="7">
        <v>55.65</v>
      </c>
      <c r="F243" s="7">
        <v>52.9</v>
      </c>
      <c r="G243" s="7">
        <v>52.9</v>
      </c>
      <c r="H243" s="7">
        <v>52.9</v>
      </c>
      <c r="I243" s="7">
        <v>52.9</v>
      </c>
      <c r="J243" s="7">
        <v>730020</v>
      </c>
      <c r="K243" s="7">
        <v>13800</v>
      </c>
      <c r="L243" s="7">
        <v>390.35</v>
      </c>
      <c r="M243" s="7">
        <v>46.75</v>
      </c>
      <c r="N243" s="7">
        <v>53.45</v>
      </c>
      <c r="O243" s="10">
        <v>-4.9399999999999999E-2</v>
      </c>
      <c r="P243" s="8">
        <f t="shared" si="0"/>
        <v>53.45</v>
      </c>
    </row>
    <row r="244" spans="1:16" ht="15">
      <c r="A244" s="6" t="s">
        <v>17</v>
      </c>
      <c r="B244" s="6" t="s">
        <v>18</v>
      </c>
      <c r="C244" s="6" t="s">
        <v>561</v>
      </c>
      <c r="D244" s="6" t="s">
        <v>562</v>
      </c>
      <c r="E244" s="7">
        <v>27</v>
      </c>
      <c r="F244" s="7">
        <v>28</v>
      </c>
      <c r="G244" s="7">
        <v>28</v>
      </c>
      <c r="H244" s="7">
        <v>27.25</v>
      </c>
      <c r="I244" s="7">
        <v>27.5</v>
      </c>
      <c r="J244" s="7">
        <v>726000</v>
      </c>
      <c r="K244" s="7">
        <v>26000</v>
      </c>
      <c r="L244" s="7">
        <v>78</v>
      </c>
      <c r="M244" s="7">
        <v>25.1</v>
      </c>
      <c r="N244" s="7">
        <v>27.55</v>
      </c>
      <c r="O244" s="10">
        <v>1.8499999999999999E-2</v>
      </c>
      <c r="P244" s="8">
        <f t="shared" si="0"/>
        <v>27.55</v>
      </c>
    </row>
    <row r="245" spans="1:16" ht="15">
      <c r="A245" s="6" t="s">
        <v>17</v>
      </c>
      <c r="B245" s="6" t="s">
        <v>18</v>
      </c>
      <c r="C245" s="6" t="s">
        <v>341</v>
      </c>
      <c r="D245" s="6" t="s">
        <v>342</v>
      </c>
      <c r="E245" s="7">
        <v>162.44999999999999</v>
      </c>
      <c r="F245" s="7">
        <v>155</v>
      </c>
      <c r="G245" s="7">
        <v>165</v>
      </c>
      <c r="H245" s="7">
        <v>155</v>
      </c>
      <c r="I245" s="7">
        <v>162.1</v>
      </c>
      <c r="J245" s="7">
        <v>715470</v>
      </c>
      <c r="K245" s="7">
        <v>4500</v>
      </c>
      <c r="L245" s="7">
        <v>508</v>
      </c>
      <c r="M245" s="7">
        <v>155</v>
      </c>
      <c r="N245" s="7">
        <v>159.91</v>
      </c>
      <c r="O245" s="10">
        <v>-2.2000000000000001E-3</v>
      </c>
      <c r="P245" s="8">
        <f t="shared" si="0"/>
        <v>159.91000000000003</v>
      </c>
    </row>
    <row r="246" spans="1:16" ht="15">
      <c r="A246" s="6" t="s">
        <v>17</v>
      </c>
      <c r="B246" s="6" t="s">
        <v>18</v>
      </c>
      <c r="C246" s="6" t="s">
        <v>369</v>
      </c>
      <c r="D246" s="6" t="s">
        <v>370</v>
      </c>
      <c r="E246" s="7">
        <v>194.45</v>
      </c>
      <c r="F246" s="7">
        <v>194.45</v>
      </c>
      <c r="G246" s="7">
        <v>200</v>
      </c>
      <c r="H246" s="7">
        <v>194.45</v>
      </c>
      <c r="I246" s="7">
        <v>195.95</v>
      </c>
      <c r="J246" s="7">
        <v>704580</v>
      </c>
      <c r="K246" s="7">
        <v>3600</v>
      </c>
      <c r="L246" s="7">
        <v>689</v>
      </c>
      <c r="M246" s="7">
        <v>182.6</v>
      </c>
      <c r="N246" s="7">
        <v>195.86</v>
      </c>
      <c r="O246" s="10">
        <v>7.7000000000000002E-3</v>
      </c>
      <c r="P246" s="8">
        <f t="shared" si="0"/>
        <v>195.85999999999999</v>
      </c>
    </row>
    <row r="247" spans="1:16" ht="15">
      <c r="A247" s="6" t="s">
        <v>17</v>
      </c>
      <c r="B247" s="6" t="s">
        <v>18</v>
      </c>
      <c r="C247" s="6" t="s">
        <v>265</v>
      </c>
      <c r="D247" s="6" t="s">
        <v>266</v>
      </c>
      <c r="E247" s="7">
        <v>72</v>
      </c>
      <c r="F247" s="7">
        <v>73</v>
      </c>
      <c r="G247" s="7">
        <v>73</v>
      </c>
      <c r="H247" s="7">
        <v>70</v>
      </c>
      <c r="I247" s="7">
        <v>70</v>
      </c>
      <c r="J247" s="7">
        <v>694400</v>
      </c>
      <c r="K247" s="7">
        <v>9600</v>
      </c>
      <c r="L247" s="7">
        <v>135</v>
      </c>
      <c r="M247" s="7">
        <v>52</v>
      </c>
      <c r="N247" s="7">
        <v>71.599999999999994</v>
      </c>
      <c r="O247" s="10">
        <v>-2.7799999999999998E-2</v>
      </c>
      <c r="P247" s="8">
        <f t="shared" si="0"/>
        <v>71.599999999999994</v>
      </c>
    </row>
    <row r="248" spans="1:16" ht="15">
      <c r="A248" s="6" t="s">
        <v>17</v>
      </c>
      <c r="B248" s="6" t="s">
        <v>18</v>
      </c>
      <c r="C248" s="6" t="s">
        <v>949</v>
      </c>
      <c r="D248" s="6" t="s">
        <v>950</v>
      </c>
      <c r="E248" s="7">
        <v>67</v>
      </c>
      <c r="F248" s="7">
        <v>66.95</v>
      </c>
      <c r="G248" s="7">
        <v>66.95</v>
      </c>
      <c r="H248" s="7">
        <v>63.65</v>
      </c>
      <c r="I248" s="7">
        <v>66.95</v>
      </c>
      <c r="J248" s="7">
        <v>688125</v>
      </c>
      <c r="K248" s="7">
        <v>10500</v>
      </c>
      <c r="L248" s="7">
        <v>99.5</v>
      </c>
      <c r="M248" s="7">
        <v>48.6</v>
      </c>
      <c r="N248" s="7">
        <v>66.3</v>
      </c>
      <c r="O248" s="10">
        <v>-6.9999999999999999E-4</v>
      </c>
      <c r="P248" s="8">
        <f t="shared" si="0"/>
        <v>66.299999999999983</v>
      </c>
    </row>
    <row r="249" spans="1:16" ht="15">
      <c r="A249" s="6" t="s">
        <v>17</v>
      </c>
      <c r="B249" s="6" t="s">
        <v>18</v>
      </c>
      <c r="C249" s="6" t="s">
        <v>433</v>
      </c>
      <c r="D249" s="6" t="s">
        <v>434</v>
      </c>
      <c r="E249" s="7">
        <v>108.05</v>
      </c>
      <c r="F249" s="7">
        <v>108</v>
      </c>
      <c r="G249" s="7">
        <v>109.5</v>
      </c>
      <c r="H249" s="7">
        <v>105.2</v>
      </c>
      <c r="I249" s="7">
        <v>106.9</v>
      </c>
      <c r="J249" s="7">
        <v>687240</v>
      </c>
      <c r="K249" s="7">
        <v>6400</v>
      </c>
      <c r="L249" s="7">
        <v>274</v>
      </c>
      <c r="M249" s="7">
        <v>102.25</v>
      </c>
      <c r="N249" s="7">
        <v>107.53</v>
      </c>
      <c r="O249" s="10">
        <v>-1.06E-2</v>
      </c>
      <c r="P249" s="8">
        <f t="shared" si="0"/>
        <v>107.53</v>
      </c>
    </row>
    <row r="250" spans="1:16" ht="15">
      <c r="A250" s="6" t="s">
        <v>17</v>
      </c>
      <c r="B250" s="6" t="s">
        <v>18</v>
      </c>
      <c r="C250" s="6" t="s">
        <v>951</v>
      </c>
      <c r="D250" s="6" t="s">
        <v>952</v>
      </c>
      <c r="E250" s="7">
        <v>51.85</v>
      </c>
      <c r="F250" s="7">
        <v>46.1</v>
      </c>
      <c r="G250" s="7">
        <v>49.1</v>
      </c>
      <c r="H250" s="7">
        <v>46.1</v>
      </c>
      <c r="I250" s="7">
        <v>48.5</v>
      </c>
      <c r="J250" s="7">
        <v>678700</v>
      </c>
      <c r="K250" s="7">
        <v>14000</v>
      </c>
      <c r="L250" s="7">
        <v>62.8</v>
      </c>
      <c r="M250" s="7">
        <v>42.25</v>
      </c>
      <c r="N250" s="7">
        <v>48.33</v>
      </c>
      <c r="O250" s="10">
        <v>-6.4600000000000005E-2</v>
      </c>
      <c r="P250" s="8">
        <f t="shared" si="0"/>
        <v>48.33</v>
      </c>
    </row>
    <row r="251" spans="1:16" ht="15">
      <c r="A251" s="6" t="s">
        <v>17</v>
      </c>
      <c r="B251" s="6" t="s">
        <v>18</v>
      </c>
      <c r="C251" s="6" t="s">
        <v>953</v>
      </c>
      <c r="D251" s="6" t="s">
        <v>954</v>
      </c>
      <c r="E251" s="7">
        <v>49</v>
      </c>
      <c r="F251" s="7">
        <v>48.35</v>
      </c>
      <c r="G251" s="7">
        <v>50</v>
      </c>
      <c r="H251" s="7">
        <v>48</v>
      </c>
      <c r="I251" s="7">
        <v>48.1</v>
      </c>
      <c r="J251" s="7">
        <v>678700</v>
      </c>
      <c r="K251" s="7">
        <v>14000</v>
      </c>
      <c r="L251" s="7">
        <v>74</v>
      </c>
      <c r="M251" s="7">
        <v>45.45</v>
      </c>
      <c r="N251" s="7">
        <v>48.69</v>
      </c>
      <c r="O251" s="10">
        <v>-1.84E-2</v>
      </c>
      <c r="P251" s="8">
        <f t="shared" si="0"/>
        <v>48.69</v>
      </c>
    </row>
    <row r="252" spans="1:16" ht="15">
      <c r="A252" s="6" t="s">
        <v>17</v>
      </c>
      <c r="B252" s="6" t="s">
        <v>18</v>
      </c>
      <c r="C252" s="6" t="s">
        <v>872</v>
      </c>
      <c r="D252" s="6" t="s">
        <v>873</v>
      </c>
      <c r="E252" s="7">
        <v>28.5</v>
      </c>
      <c r="F252" s="7">
        <v>27.55</v>
      </c>
      <c r="G252" s="7">
        <v>28.8</v>
      </c>
      <c r="H252" s="7">
        <v>27.55</v>
      </c>
      <c r="I252" s="7">
        <v>28.8</v>
      </c>
      <c r="J252" s="7">
        <v>665120</v>
      </c>
      <c r="K252" s="7">
        <v>24000</v>
      </c>
      <c r="L252" s="7">
        <v>117.9</v>
      </c>
      <c r="M252" s="7">
        <v>26.75</v>
      </c>
      <c r="N252" s="7">
        <v>28.24</v>
      </c>
      <c r="O252" s="10">
        <v>1.0500000000000001E-2</v>
      </c>
      <c r="P252" s="8">
        <f t="shared" si="0"/>
        <v>28.24</v>
      </c>
    </row>
    <row r="253" spans="1:16" ht="15">
      <c r="A253" s="6" t="s">
        <v>17</v>
      </c>
      <c r="B253" s="6" t="s">
        <v>18</v>
      </c>
      <c r="C253" s="6" t="s">
        <v>832</v>
      </c>
      <c r="D253" s="6" t="s">
        <v>833</v>
      </c>
      <c r="E253" s="7">
        <v>72.05</v>
      </c>
      <c r="F253" s="7">
        <v>72.900000000000006</v>
      </c>
      <c r="G253" s="7">
        <v>73.849999999999994</v>
      </c>
      <c r="H253" s="7">
        <v>72.3</v>
      </c>
      <c r="I253" s="7">
        <v>73.349999999999994</v>
      </c>
      <c r="J253" s="7">
        <v>658620</v>
      </c>
      <c r="K253" s="7">
        <v>9000</v>
      </c>
      <c r="L253" s="7">
        <v>175</v>
      </c>
      <c r="M253" s="7">
        <v>71.599999999999994</v>
      </c>
      <c r="N253" s="7">
        <v>72.89</v>
      </c>
      <c r="O253" s="10">
        <v>1.7999999999999999E-2</v>
      </c>
      <c r="P253" s="8">
        <f t="shared" si="0"/>
        <v>72.889999999999986</v>
      </c>
    </row>
    <row r="254" spans="1:16" ht="15">
      <c r="A254" s="6" t="s">
        <v>17</v>
      </c>
      <c r="B254" s="6" t="s">
        <v>18</v>
      </c>
      <c r="C254" s="6" t="s">
        <v>748</v>
      </c>
      <c r="D254" s="6" t="s">
        <v>749</v>
      </c>
      <c r="E254" s="7">
        <v>27.55</v>
      </c>
      <c r="F254" s="7">
        <v>28.15</v>
      </c>
      <c r="G254" s="7">
        <v>28.15</v>
      </c>
      <c r="H254" s="7">
        <v>26.2</v>
      </c>
      <c r="I254" s="7">
        <v>26.25</v>
      </c>
      <c r="J254" s="7">
        <v>647520</v>
      </c>
      <c r="K254" s="7">
        <v>24000</v>
      </c>
      <c r="L254" s="7">
        <v>88</v>
      </c>
      <c r="M254" s="7">
        <v>24</v>
      </c>
      <c r="N254" s="7">
        <v>27.26</v>
      </c>
      <c r="O254" s="10">
        <v>-4.7199999999999999E-2</v>
      </c>
      <c r="P254" s="8">
        <f t="shared" si="0"/>
        <v>27.26</v>
      </c>
    </row>
    <row r="255" spans="1:16" ht="15">
      <c r="A255" s="6" t="s">
        <v>17</v>
      </c>
      <c r="B255" s="6" t="s">
        <v>18</v>
      </c>
      <c r="C255" s="6" t="s">
        <v>255</v>
      </c>
      <c r="D255" s="6" t="s">
        <v>256</v>
      </c>
      <c r="E255" s="7">
        <v>12.95</v>
      </c>
      <c r="F255" s="7">
        <v>12</v>
      </c>
      <c r="G255" s="7">
        <v>13.5</v>
      </c>
      <c r="H255" s="7">
        <v>12</v>
      </c>
      <c r="I255" s="7">
        <v>13.4</v>
      </c>
      <c r="J255" s="7">
        <v>629750</v>
      </c>
      <c r="K255" s="7">
        <v>50000</v>
      </c>
      <c r="L255" s="7">
        <v>162.80000000000001</v>
      </c>
      <c r="M255" s="7">
        <v>12</v>
      </c>
      <c r="N255" s="7">
        <v>12.77</v>
      </c>
      <c r="O255" s="10">
        <v>3.4700000000000002E-2</v>
      </c>
      <c r="P255" s="8">
        <f t="shared" si="0"/>
        <v>12.77</v>
      </c>
    </row>
    <row r="256" spans="1:16" ht="15">
      <c r="A256" s="6" t="s">
        <v>17</v>
      </c>
      <c r="B256" s="6" t="s">
        <v>18</v>
      </c>
      <c r="C256" s="6" t="s">
        <v>955</v>
      </c>
      <c r="D256" s="6" t="s">
        <v>956</v>
      </c>
      <c r="E256" s="7">
        <v>125.6</v>
      </c>
      <c r="F256" s="7">
        <v>128.94999999999999</v>
      </c>
      <c r="G256" s="7">
        <v>129</v>
      </c>
      <c r="H256" s="7">
        <v>128.94999999999999</v>
      </c>
      <c r="I256" s="7">
        <v>129</v>
      </c>
      <c r="J256" s="7">
        <v>619120</v>
      </c>
      <c r="K256" s="7">
        <v>4800</v>
      </c>
      <c r="L256" s="7">
        <v>163</v>
      </c>
      <c r="M256" s="7">
        <v>120.05</v>
      </c>
      <c r="N256" s="7">
        <v>128.30000000000001</v>
      </c>
      <c r="O256" s="10">
        <v>2.7099999999999999E-2</v>
      </c>
      <c r="P256" s="8">
        <f t="shared" si="0"/>
        <v>128.30000000000001</v>
      </c>
    </row>
    <row r="257" spans="1:16" ht="15">
      <c r="A257" s="6" t="s">
        <v>17</v>
      </c>
      <c r="B257" s="6" t="s">
        <v>18</v>
      </c>
      <c r="C257" s="6" t="s">
        <v>728</v>
      </c>
      <c r="D257" s="6" t="s">
        <v>729</v>
      </c>
      <c r="E257" s="7">
        <v>125.4</v>
      </c>
      <c r="F257" s="7">
        <v>123</v>
      </c>
      <c r="G257" s="7">
        <v>125</v>
      </c>
      <c r="H257" s="7">
        <v>123</v>
      </c>
      <c r="I257" s="7">
        <v>124</v>
      </c>
      <c r="J257" s="7">
        <v>619000</v>
      </c>
      <c r="K257" s="7">
        <v>5000</v>
      </c>
      <c r="L257" s="7">
        <v>179</v>
      </c>
      <c r="M257" s="7">
        <v>111.5</v>
      </c>
      <c r="N257" s="7">
        <v>124.08</v>
      </c>
      <c r="O257" s="10">
        <v>-1.12E-2</v>
      </c>
      <c r="P257" s="8">
        <f t="shared" ref="P257:P443" si="1">AVERAGE(E257,F257,G257,H257,I257)</f>
        <v>124.08</v>
      </c>
    </row>
    <row r="258" spans="1:16" ht="15">
      <c r="A258" s="6" t="s">
        <v>17</v>
      </c>
      <c r="B258" s="6" t="s">
        <v>18</v>
      </c>
      <c r="C258" s="6" t="s">
        <v>786</v>
      </c>
      <c r="D258" s="6" t="s">
        <v>787</v>
      </c>
      <c r="E258" s="7">
        <v>87.55</v>
      </c>
      <c r="F258" s="7">
        <v>85.3</v>
      </c>
      <c r="G258" s="7">
        <v>89.95</v>
      </c>
      <c r="H258" s="7">
        <v>83.2</v>
      </c>
      <c r="I258" s="7">
        <v>89.95</v>
      </c>
      <c r="J258" s="7">
        <v>617960</v>
      </c>
      <c r="K258" s="7">
        <v>7200</v>
      </c>
      <c r="L258" s="7">
        <v>172.8</v>
      </c>
      <c r="M258" s="7">
        <v>69.3</v>
      </c>
      <c r="N258" s="7">
        <v>87.19</v>
      </c>
      <c r="O258" s="10">
        <v>2.7400000000000001E-2</v>
      </c>
      <c r="P258" s="8">
        <f t="shared" si="1"/>
        <v>87.19</v>
      </c>
    </row>
    <row r="259" spans="1:16" ht="15">
      <c r="A259" s="6" t="s">
        <v>17</v>
      </c>
      <c r="B259" s="6" t="s">
        <v>35</v>
      </c>
      <c r="C259" s="6" t="s">
        <v>479</v>
      </c>
      <c r="D259" s="6" t="s">
        <v>480</v>
      </c>
      <c r="E259" s="7">
        <v>55.45</v>
      </c>
      <c r="F259" s="7">
        <v>55.45</v>
      </c>
      <c r="G259" s="7">
        <v>56.3</v>
      </c>
      <c r="H259" s="7">
        <v>55.45</v>
      </c>
      <c r="I259" s="7">
        <v>56.3</v>
      </c>
      <c r="J259" s="7">
        <v>617550</v>
      </c>
      <c r="K259" s="7">
        <v>11000</v>
      </c>
      <c r="L259" s="7">
        <v>186.6</v>
      </c>
      <c r="M259" s="7">
        <v>53.4</v>
      </c>
      <c r="N259" s="7">
        <v>55.79</v>
      </c>
      <c r="O259" s="10">
        <v>1.5299999999999999E-2</v>
      </c>
      <c r="P259" s="8">
        <f t="shared" si="1"/>
        <v>55.79</v>
      </c>
    </row>
    <row r="260" spans="1:16" ht="15">
      <c r="A260" s="6" t="s">
        <v>17</v>
      </c>
      <c r="B260" s="6" t="s">
        <v>18</v>
      </c>
      <c r="C260" s="6" t="s">
        <v>431</v>
      </c>
      <c r="D260" s="6" t="s">
        <v>432</v>
      </c>
      <c r="E260" s="7">
        <v>96</v>
      </c>
      <c r="F260" s="7">
        <v>96</v>
      </c>
      <c r="G260" s="7">
        <v>98.75</v>
      </c>
      <c r="H260" s="7">
        <v>96</v>
      </c>
      <c r="I260" s="7">
        <v>98.05</v>
      </c>
      <c r="J260" s="7">
        <v>585780</v>
      </c>
      <c r="K260" s="7">
        <v>6000</v>
      </c>
      <c r="L260" s="7">
        <v>148</v>
      </c>
      <c r="M260" s="7">
        <v>81</v>
      </c>
      <c r="N260" s="7">
        <v>96.96</v>
      </c>
      <c r="O260" s="10">
        <v>2.1399999999999999E-2</v>
      </c>
      <c r="P260" s="8">
        <f t="shared" si="1"/>
        <v>96.960000000000008</v>
      </c>
    </row>
    <row r="261" spans="1:16" ht="15">
      <c r="A261" s="6" t="s">
        <v>17</v>
      </c>
      <c r="B261" s="6" t="s">
        <v>18</v>
      </c>
      <c r="C261" s="6" t="s">
        <v>926</v>
      </c>
      <c r="D261" s="6" t="s">
        <v>927</v>
      </c>
      <c r="E261" s="7">
        <v>134.5</v>
      </c>
      <c r="F261" s="7">
        <v>133.5</v>
      </c>
      <c r="G261" s="7">
        <v>134</v>
      </c>
      <c r="H261" s="7">
        <v>130.19999999999999</v>
      </c>
      <c r="I261" s="7">
        <v>131.5</v>
      </c>
      <c r="J261" s="7">
        <v>582720</v>
      </c>
      <c r="K261" s="7">
        <v>4400</v>
      </c>
      <c r="L261" s="7">
        <v>272</v>
      </c>
      <c r="M261" s="7">
        <v>127.6</v>
      </c>
      <c r="N261" s="7">
        <v>132.74</v>
      </c>
      <c r="O261" s="10">
        <v>-2.23E-2</v>
      </c>
      <c r="P261" s="8">
        <f t="shared" si="1"/>
        <v>132.74</v>
      </c>
    </row>
    <row r="262" spans="1:16" ht="15">
      <c r="A262" s="6" t="s">
        <v>17</v>
      </c>
      <c r="B262" s="6" t="s">
        <v>18</v>
      </c>
      <c r="C262" s="6" t="s">
        <v>762</v>
      </c>
      <c r="D262" s="6" t="s">
        <v>763</v>
      </c>
      <c r="E262" s="7">
        <v>144.5</v>
      </c>
      <c r="F262" s="7">
        <v>145</v>
      </c>
      <c r="G262" s="7">
        <v>145</v>
      </c>
      <c r="H262" s="7">
        <v>143</v>
      </c>
      <c r="I262" s="7">
        <v>143</v>
      </c>
      <c r="J262" s="7">
        <v>573600</v>
      </c>
      <c r="K262" s="7">
        <v>4000</v>
      </c>
      <c r="L262" s="7">
        <v>171</v>
      </c>
      <c r="M262" s="7">
        <v>103</v>
      </c>
      <c r="N262" s="7">
        <v>144.1</v>
      </c>
      <c r="O262" s="10">
        <v>-1.04E-2</v>
      </c>
      <c r="P262" s="8">
        <f t="shared" si="1"/>
        <v>144.1</v>
      </c>
    </row>
    <row r="263" spans="1:16" ht="15">
      <c r="A263" s="6" t="s">
        <v>17</v>
      </c>
      <c r="B263" s="6" t="s">
        <v>18</v>
      </c>
      <c r="C263" s="6" t="s">
        <v>606</v>
      </c>
      <c r="D263" s="6" t="s">
        <v>607</v>
      </c>
      <c r="E263" s="7">
        <v>47.05</v>
      </c>
      <c r="F263" s="7">
        <v>44.35</v>
      </c>
      <c r="G263" s="7">
        <v>45.5</v>
      </c>
      <c r="H263" s="7">
        <v>44.1</v>
      </c>
      <c r="I263" s="7">
        <v>44.8</v>
      </c>
      <c r="J263" s="7">
        <v>572920</v>
      </c>
      <c r="K263" s="7">
        <v>12800</v>
      </c>
      <c r="L263" s="7">
        <v>143</v>
      </c>
      <c r="M263" s="7">
        <v>42.55</v>
      </c>
      <c r="N263" s="7">
        <v>45.16</v>
      </c>
      <c r="O263" s="10">
        <v>-4.7800000000000002E-2</v>
      </c>
      <c r="P263" s="8">
        <f t="shared" si="1"/>
        <v>45.160000000000004</v>
      </c>
    </row>
    <row r="264" spans="1:16" ht="15">
      <c r="A264" s="6" t="s">
        <v>17</v>
      </c>
      <c r="B264" s="6" t="s">
        <v>18</v>
      </c>
      <c r="C264" s="6" t="s">
        <v>395</v>
      </c>
      <c r="D264" s="6" t="s">
        <v>396</v>
      </c>
      <c r="E264" s="7">
        <v>58.15</v>
      </c>
      <c r="F264" s="7">
        <v>61.8</v>
      </c>
      <c r="G264" s="7">
        <v>61.8</v>
      </c>
      <c r="H264" s="7">
        <v>58.65</v>
      </c>
      <c r="I264" s="7">
        <v>59.75</v>
      </c>
      <c r="J264" s="7">
        <v>572670</v>
      </c>
      <c r="K264" s="7">
        <v>9600</v>
      </c>
      <c r="L264" s="7">
        <v>143.44999999999999</v>
      </c>
      <c r="M264" s="7">
        <v>52.5</v>
      </c>
      <c r="N264" s="7">
        <v>60.03</v>
      </c>
      <c r="O264" s="10">
        <v>2.75E-2</v>
      </c>
      <c r="P264" s="8">
        <f t="shared" si="1"/>
        <v>60.029999999999994</v>
      </c>
    </row>
    <row r="265" spans="1:16" ht="15">
      <c r="A265" s="6" t="s">
        <v>17</v>
      </c>
      <c r="B265" s="6" t="s">
        <v>18</v>
      </c>
      <c r="C265" s="6" t="s">
        <v>323</v>
      </c>
      <c r="D265" s="6" t="s">
        <v>324</v>
      </c>
      <c r="E265" s="7">
        <v>44.65</v>
      </c>
      <c r="F265" s="7">
        <v>45.8</v>
      </c>
      <c r="G265" s="7">
        <v>48</v>
      </c>
      <c r="H265" s="7">
        <v>44.6</v>
      </c>
      <c r="I265" s="7">
        <v>44.6</v>
      </c>
      <c r="J265" s="7">
        <v>552720</v>
      </c>
      <c r="K265" s="7">
        <v>12000</v>
      </c>
      <c r="L265" s="7">
        <v>80</v>
      </c>
      <c r="M265" s="7">
        <v>44</v>
      </c>
      <c r="N265" s="7">
        <v>45.53</v>
      </c>
      <c r="O265" s="10">
        <v>-1.1000000000000001E-3</v>
      </c>
      <c r="P265" s="8">
        <f t="shared" si="1"/>
        <v>45.529999999999994</v>
      </c>
    </row>
    <row r="266" spans="1:16" ht="15">
      <c r="A266" s="6" t="s">
        <v>17</v>
      </c>
      <c r="B266" s="6" t="s">
        <v>18</v>
      </c>
      <c r="C266" s="6" t="s">
        <v>355</v>
      </c>
      <c r="D266" s="6" t="s">
        <v>356</v>
      </c>
      <c r="E266" s="7">
        <v>216.3</v>
      </c>
      <c r="F266" s="7">
        <v>216.3</v>
      </c>
      <c r="G266" s="7">
        <v>221</v>
      </c>
      <c r="H266" s="7">
        <v>216.3</v>
      </c>
      <c r="I266" s="7">
        <v>218</v>
      </c>
      <c r="J266" s="7">
        <v>548025</v>
      </c>
      <c r="K266" s="7">
        <v>2500</v>
      </c>
      <c r="L266" s="7">
        <v>337</v>
      </c>
      <c r="M266" s="7">
        <v>210</v>
      </c>
      <c r="N266" s="7">
        <v>217.58</v>
      </c>
      <c r="O266" s="10">
        <v>7.9000000000000008E-3</v>
      </c>
      <c r="P266" s="8">
        <f t="shared" si="1"/>
        <v>217.58</v>
      </c>
    </row>
    <row r="267" spans="1:16" ht="15">
      <c r="A267" s="6" t="s">
        <v>17</v>
      </c>
      <c r="B267" s="6" t="s">
        <v>18</v>
      </c>
      <c r="C267" s="6" t="s">
        <v>138</v>
      </c>
      <c r="D267" s="6" t="s">
        <v>139</v>
      </c>
      <c r="E267" s="7">
        <v>152.05000000000001</v>
      </c>
      <c r="F267" s="7">
        <v>153.4</v>
      </c>
      <c r="G267" s="7">
        <v>153.4</v>
      </c>
      <c r="H267" s="7">
        <v>149.05000000000001</v>
      </c>
      <c r="I267" s="7">
        <v>149.55000000000001</v>
      </c>
      <c r="J267" s="7">
        <v>543660</v>
      </c>
      <c r="K267" s="7">
        <v>3600</v>
      </c>
      <c r="L267" s="7">
        <v>317</v>
      </c>
      <c r="M267" s="7">
        <v>88</v>
      </c>
      <c r="N267" s="7">
        <v>151.49</v>
      </c>
      <c r="O267" s="10">
        <v>-1.6400000000000001E-2</v>
      </c>
      <c r="P267" s="8">
        <f t="shared" si="1"/>
        <v>151.49</v>
      </c>
    </row>
    <row r="268" spans="1:16" ht="15">
      <c r="A268" s="6" t="s">
        <v>17</v>
      </c>
      <c r="B268" s="6" t="s">
        <v>18</v>
      </c>
      <c r="C268" s="6" t="s">
        <v>134</v>
      </c>
      <c r="D268" s="6" t="s">
        <v>135</v>
      </c>
      <c r="E268" s="7">
        <v>65.5</v>
      </c>
      <c r="F268" s="7">
        <v>64.099999999999994</v>
      </c>
      <c r="G268" s="7">
        <v>67.5</v>
      </c>
      <c r="H268" s="7">
        <v>61.5</v>
      </c>
      <c r="I268" s="7">
        <v>64.650000000000006</v>
      </c>
      <c r="J268" s="7">
        <v>542400</v>
      </c>
      <c r="K268" s="7">
        <v>8400</v>
      </c>
      <c r="L268" s="7">
        <v>128.85</v>
      </c>
      <c r="M268" s="7">
        <v>61.2</v>
      </c>
      <c r="N268" s="7">
        <v>64.650000000000006</v>
      </c>
      <c r="O268" s="10">
        <v>-1.2999999999999999E-2</v>
      </c>
      <c r="P268" s="8">
        <f t="shared" si="1"/>
        <v>64.650000000000006</v>
      </c>
    </row>
    <row r="269" spans="1:16" ht="15">
      <c r="A269" s="6" t="s">
        <v>17</v>
      </c>
      <c r="B269" s="6" t="s">
        <v>35</v>
      </c>
      <c r="C269" s="6" t="s">
        <v>670</v>
      </c>
      <c r="D269" s="6" t="s">
        <v>671</v>
      </c>
      <c r="E269" s="7">
        <v>211.15</v>
      </c>
      <c r="F269" s="7">
        <v>210</v>
      </c>
      <c r="G269" s="7">
        <v>220</v>
      </c>
      <c r="H269" s="7">
        <v>210</v>
      </c>
      <c r="I269" s="7">
        <v>220</v>
      </c>
      <c r="J269" s="7">
        <v>540987.5</v>
      </c>
      <c r="K269" s="7">
        <v>2500</v>
      </c>
      <c r="L269" s="7">
        <v>573</v>
      </c>
      <c r="M269" s="7">
        <v>160.55000000000001</v>
      </c>
      <c r="N269" s="7">
        <v>214.23</v>
      </c>
      <c r="O269" s="10">
        <v>4.19E-2</v>
      </c>
      <c r="P269" s="8">
        <f t="shared" si="1"/>
        <v>214.23000000000002</v>
      </c>
    </row>
    <row r="270" spans="1:16" ht="15">
      <c r="A270" s="6" t="s">
        <v>17</v>
      </c>
      <c r="B270" s="6" t="s">
        <v>18</v>
      </c>
      <c r="C270" s="6" t="s">
        <v>425</v>
      </c>
      <c r="D270" s="6" t="s">
        <v>426</v>
      </c>
      <c r="E270" s="7">
        <v>191.5</v>
      </c>
      <c r="F270" s="7">
        <v>196.75</v>
      </c>
      <c r="G270" s="7">
        <v>204</v>
      </c>
      <c r="H270" s="7">
        <v>196.75</v>
      </c>
      <c r="I270" s="7">
        <v>201.75</v>
      </c>
      <c r="J270" s="7">
        <v>538845</v>
      </c>
      <c r="K270" s="7">
        <v>2700</v>
      </c>
      <c r="L270" s="7">
        <v>768</v>
      </c>
      <c r="M270" s="7">
        <v>191.2</v>
      </c>
      <c r="N270" s="7">
        <v>198.15</v>
      </c>
      <c r="O270" s="10">
        <v>5.3499999999999999E-2</v>
      </c>
      <c r="P270" s="8">
        <f t="shared" si="1"/>
        <v>198.15</v>
      </c>
    </row>
    <row r="271" spans="1:16" ht="15">
      <c r="A271" s="6" t="s">
        <v>17</v>
      </c>
      <c r="B271" s="6" t="s">
        <v>35</v>
      </c>
      <c r="C271" s="6" t="s">
        <v>297</v>
      </c>
      <c r="D271" s="6" t="s">
        <v>298</v>
      </c>
      <c r="E271" s="7">
        <v>17.600000000000001</v>
      </c>
      <c r="F271" s="7">
        <v>17.600000000000001</v>
      </c>
      <c r="G271" s="7">
        <v>18.45</v>
      </c>
      <c r="H271" s="7">
        <v>17.600000000000001</v>
      </c>
      <c r="I271" s="7">
        <v>17.899999999999999</v>
      </c>
      <c r="J271" s="7">
        <v>536500</v>
      </c>
      <c r="K271" s="7">
        <v>30000</v>
      </c>
      <c r="L271" s="7">
        <v>54</v>
      </c>
      <c r="M271" s="7">
        <v>17.5</v>
      </c>
      <c r="N271" s="7">
        <v>17.829999999999998</v>
      </c>
      <c r="O271" s="10">
        <v>1.7000000000000001E-2</v>
      </c>
      <c r="P271" s="8">
        <f t="shared" si="1"/>
        <v>17.830000000000002</v>
      </c>
    </row>
    <row r="272" spans="1:16" ht="15">
      <c r="A272" s="6" t="s">
        <v>17</v>
      </c>
      <c r="B272" s="6" t="s">
        <v>18</v>
      </c>
      <c r="C272" s="6" t="s">
        <v>411</v>
      </c>
      <c r="D272" s="6" t="s">
        <v>412</v>
      </c>
      <c r="E272" s="7">
        <v>60.9</v>
      </c>
      <c r="F272" s="7">
        <v>60.9</v>
      </c>
      <c r="G272" s="7">
        <v>60.9</v>
      </c>
      <c r="H272" s="7">
        <v>58</v>
      </c>
      <c r="I272" s="7">
        <v>58.4</v>
      </c>
      <c r="J272" s="7">
        <v>517920</v>
      </c>
      <c r="K272" s="7">
        <v>8800</v>
      </c>
      <c r="L272" s="7">
        <v>156.9</v>
      </c>
      <c r="M272" s="7">
        <v>58</v>
      </c>
      <c r="N272" s="7">
        <v>59.82</v>
      </c>
      <c r="O272" s="10">
        <v>-4.1099999999999998E-2</v>
      </c>
      <c r="P272" s="8">
        <f t="shared" si="1"/>
        <v>59.819999999999993</v>
      </c>
    </row>
    <row r="273" spans="1:16" ht="15">
      <c r="A273" s="6" t="s">
        <v>17</v>
      </c>
      <c r="B273" s="6" t="s">
        <v>18</v>
      </c>
      <c r="C273" s="6" t="s">
        <v>393</v>
      </c>
      <c r="D273" s="6" t="s">
        <v>394</v>
      </c>
      <c r="E273" s="7">
        <v>42.75</v>
      </c>
      <c r="F273" s="7">
        <v>42.5</v>
      </c>
      <c r="G273" s="7">
        <v>43.75</v>
      </c>
      <c r="H273" s="7">
        <v>42.2</v>
      </c>
      <c r="I273" s="7">
        <v>42.2</v>
      </c>
      <c r="J273" s="7">
        <v>511900</v>
      </c>
      <c r="K273" s="7">
        <v>12000</v>
      </c>
      <c r="L273" s="7">
        <v>77.75</v>
      </c>
      <c r="M273" s="7">
        <v>35.450000000000003</v>
      </c>
      <c r="N273" s="7">
        <v>42.68</v>
      </c>
      <c r="O273" s="10">
        <v>-1.29E-2</v>
      </c>
      <c r="P273" s="8">
        <f t="shared" si="1"/>
        <v>42.679999999999993</v>
      </c>
    </row>
    <row r="274" spans="1:16" ht="15">
      <c r="A274" s="6" t="s">
        <v>17</v>
      </c>
      <c r="B274" s="6" t="s">
        <v>18</v>
      </c>
      <c r="C274" s="6" t="s">
        <v>303</v>
      </c>
      <c r="D274" s="6" t="s">
        <v>304</v>
      </c>
      <c r="E274" s="7">
        <v>18.45</v>
      </c>
      <c r="F274" s="7">
        <v>18.399999999999999</v>
      </c>
      <c r="G274" s="7">
        <v>18.600000000000001</v>
      </c>
      <c r="H274" s="7">
        <v>18.2</v>
      </c>
      <c r="I274" s="7">
        <v>18.2</v>
      </c>
      <c r="J274" s="7">
        <v>498000</v>
      </c>
      <c r="K274" s="7">
        <v>27000</v>
      </c>
      <c r="L274" s="7">
        <v>59</v>
      </c>
      <c r="M274" s="7">
        <v>18.2</v>
      </c>
      <c r="N274" s="7">
        <v>18.37</v>
      </c>
      <c r="O274" s="10">
        <v>-1.3599999999999999E-2</v>
      </c>
      <c r="P274" s="8">
        <f t="shared" si="1"/>
        <v>18.369999999999997</v>
      </c>
    </row>
    <row r="275" spans="1:16" ht="15">
      <c r="A275" s="6" t="s">
        <v>17</v>
      </c>
      <c r="B275" s="6" t="s">
        <v>18</v>
      </c>
      <c r="C275" s="6" t="s">
        <v>92</v>
      </c>
      <c r="D275" s="6" t="s">
        <v>93</v>
      </c>
      <c r="E275" s="7">
        <v>29.05</v>
      </c>
      <c r="F275" s="7">
        <v>29.95</v>
      </c>
      <c r="G275" s="7">
        <v>30.25</v>
      </c>
      <c r="H275" s="7">
        <v>29.2</v>
      </c>
      <c r="I275" s="7">
        <v>29.2</v>
      </c>
      <c r="J275" s="7">
        <v>491625</v>
      </c>
      <c r="K275" s="7">
        <v>16500</v>
      </c>
      <c r="L275" s="7">
        <v>87.4</v>
      </c>
      <c r="M275" s="7">
        <v>28.95</v>
      </c>
      <c r="N275" s="7">
        <v>29.53</v>
      </c>
      <c r="O275" s="10">
        <v>5.1999999999999998E-3</v>
      </c>
      <c r="P275" s="8">
        <f t="shared" si="1"/>
        <v>29.53</v>
      </c>
    </row>
    <row r="276" spans="1:16" ht="15">
      <c r="A276" s="6" t="s">
        <v>17</v>
      </c>
      <c r="B276" s="6" t="s">
        <v>18</v>
      </c>
      <c r="C276" s="6" t="s">
        <v>261</v>
      </c>
      <c r="D276" s="6" t="s">
        <v>262</v>
      </c>
      <c r="E276" s="7">
        <v>100</v>
      </c>
      <c r="F276" s="7">
        <v>100</v>
      </c>
      <c r="G276" s="7">
        <v>100</v>
      </c>
      <c r="H276" s="7">
        <v>100</v>
      </c>
      <c r="I276" s="7">
        <v>100</v>
      </c>
      <c r="J276" s="7">
        <v>480000</v>
      </c>
      <c r="K276" s="7">
        <v>4800</v>
      </c>
      <c r="L276" s="7">
        <v>123.5</v>
      </c>
      <c r="M276" s="7">
        <v>98</v>
      </c>
      <c r="N276" s="7">
        <v>100</v>
      </c>
      <c r="O276" s="10">
        <v>0</v>
      </c>
      <c r="P276" s="8">
        <f t="shared" si="1"/>
        <v>100</v>
      </c>
    </row>
    <row r="277" spans="1:16" ht="15">
      <c r="A277" s="6" t="s">
        <v>17</v>
      </c>
      <c r="B277" s="6" t="s">
        <v>18</v>
      </c>
      <c r="C277" s="6" t="s">
        <v>934</v>
      </c>
      <c r="D277" s="6" t="s">
        <v>935</v>
      </c>
      <c r="E277" s="7">
        <v>118</v>
      </c>
      <c r="F277" s="7">
        <v>120</v>
      </c>
      <c r="G277" s="7">
        <v>120</v>
      </c>
      <c r="H277" s="7">
        <v>116.55</v>
      </c>
      <c r="I277" s="7">
        <v>118</v>
      </c>
      <c r="J277" s="7">
        <v>474040</v>
      </c>
      <c r="K277" s="7">
        <v>4000</v>
      </c>
      <c r="L277" s="7">
        <v>153.5</v>
      </c>
      <c r="M277" s="7">
        <v>72.599999999999994</v>
      </c>
      <c r="N277" s="7">
        <v>118.51</v>
      </c>
      <c r="O277" s="10">
        <v>0</v>
      </c>
      <c r="P277" s="8">
        <f t="shared" si="1"/>
        <v>118.50999999999999</v>
      </c>
    </row>
    <row r="278" spans="1:16" ht="15">
      <c r="A278" s="6" t="s">
        <v>17</v>
      </c>
      <c r="B278" s="6" t="s">
        <v>35</v>
      </c>
      <c r="C278" s="6" t="s">
        <v>339</v>
      </c>
      <c r="D278" s="6" t="s">
        <v>340</v>
      </c>
      <c r="E278" s="7">
        <v>302.5</v>
      </c>
      <c r="F278" s="7">
        <v>314</v>
      </c>
      <c r="G278" s="7">
        <v>315</v>
      </c>
      <c r="H278" s="7">
        <v>314</v>
      </c>
      <c r="I278" s="7">
        <v>315</v>
      </c>
      <c r="J278" s="7">
        <v>471750</v>
      </c>
      <c r="K278" s="7">
        <v>1500</v>
      </c>
      <c r="L278" s="7">
        <v>380</v>
      </c>
      <c r="M278" s="7">
        <v>112</v>
      </c>
      <c r="N278" s="7">
        <v>312.10000000000002</v>
      </c>
      <c r="O278" s="10">
        <v>4.1300000000000003E-2</v>
      </c>
      <c r="P278" s="8">
        <f t="shared" si="1"/>
        <v>312.10000000000002</v>
      </c>
    </row>
    <row r="279" spans="1:16" ht="15">
      <c r="A279" s="6" t="s">
        <v>17</v>
      </c>
      <c r="B279" s="6" t="s">
        <v>18</v>
      </c>
      <c r="C279" s="6" t="s">
        <v>305</v>
      </c>
      <c r="D279" s="6" t="s">
        <v>306</v>
      </c>
      <c r="E279" s="7">
        <v>355.2</v>
      </c>
      <c r="F279" s="7">
        <v>359</v>
      </c>
      <c r="G279" s="7">
        <v>371.9</v>
      </c>
      <c r="H279" s="7">
        <v>359</v>
      </c>
      <c r="I279" s="7">
        <v>371</v>
      </c>
      <c r="J279" s="7">
        <v>461225</v>
      </c>
      <c r="K279" s="7">
        <v>1250</v>
      </c>
      <c r="L279" s="7">
        <v>525.25</v>
      </c>
      <c r="M279" s="7">
        <v>306.64999999999998</v>
      </c>
      <c r="N279" s="7">
        <v>363.22</v>
      </c>
      <c r="O279" s="10">
        <v>4.4499999999999998E-2</v>
      </c>
      <c r="P279" s="8">
        <f t="shared" si="1"/>
        <v>363.21999999999997</v>
      </c>
    </row>
    <row r="280" spans="1:16" ht="15">
      <c r="A280" s="6" t="s">
        <v>17</v>
      </c>
      <c r="B280" s="6" t="s">
        <v>18</v>
      </c>
      <c r="C280" s="6" t="s">
        <v>862</v>
      </c>
      <c r="D280" s="6" t="s">
        <v>863</v>
      </c>
      <c r="E280" s="7">
        <v>18.95</v>
      </c>
      <c r="F280" s="7">
        <v>20</v>
      </c>
      <c r="G280" s="7">
        <v>20</v>
      </c>
      <c r="H280" s="7">
        <v>18.5</v>
      </c>
      <c r="I280" s="7">
        <v>19.25</v>
      </c>
      <c r="J280" s="7">
        <v>456400</v>
      </c>
      <c r="K280" s="7">
        <v>24000</v>
      </c>
      <c r="L280" s="7">
        <v>33.75</v>
      </c>
      <c r="M280" s="7">
        <v>18.5</v>
      </c>
      <c r="N280" s="7">
        <v>19.34</v>
      </c>
      <c r="O280" s="10">
        <v>1.5800000000000002E-2</v>
      </c>
      <c r="P280" s="8">
        <f t="shared" si="1"/>
        <v>19.34</v>
      </c>
    </row>
    <row r="281" spans="1:16" ht="15">
      <c r="A281" s="6" t="s">
        <v>17</v>
      </c>
      <c r="B281" s="6" t="s">
        <v>18</v>
      </c>
      <c r="C281" s="6" t="s">
        <v>82</v>
      </c>
      <c r="D281" s="6" t="s">
        <v>83</v>
      </c>
      <c r="E281" s="7">
        <v>56</v>
      </c>
      <c r="F281" s="7">
        <v>57.9</v>
      </c>
      <c r="G281" s="7">
        <v>58</v>
      </c>
      <c r="H281" s="7">
        <v>55.5</v>
      </c>
      <c r="I281" s="7">
        <v>56</v>
      </c>
      <c r="J281" s="7">
        <v>450500</v>
      </c>
      <c r="K281" s="7">
        <v>8000</v>
      </c>
      <c r="L281" s="7">
        <v>145</v>
      </c>
      <c r="M281" s="7">
        <v>55.5</v>
      </c>
      <c r="N281" s="7">
        <v>56.68</v>
      </c>
      <c r="O281" s="10">
        <v>0</v>
      </c>
      <c r="P281" s="8">
        <f t="shared" si="1"/>
        <v>56.679999999999993</v>
      </c>
    </row>
    <row r="282" spans="1:16" ht="15">
      <c r="A282" s="6" t="s">
        <v>17</v>
      </c>
      <c r="B282" s="6" t="s">
        <v>18</v>
      </c>
      <c r="C282" s="6" t="s">
        <v>401</v>
      </c>
      <c r="D282" s="6" t="s">
        <v>402</v>
      </c>
      <c r="E282" s="7">
        <v>151.94999999999999</v>
      </c>
      <c r="F282" s="7">
        <v>148.5</v>
      </c>
      <c r="G282" s="7">
        <v>148.5</v>
      </c>
      <c r="H282" s="7">
        <v>148</v>
      </c>
      <c r="I282" s="7">
        <v>148</v>
      </c>
      <c r="J282" s="7">
        <v>444500</v>
      </c>
      <c r="K282" s="7">
        <v>3000</v>
      </c>
      <c r="L282" s="7">
        <v>160</v>
      </c>
      <c r="M282" s="7">
        <v>46.15</v>
      </c>
      <c r="N282" s="7">
        <v>148.99</v>
      </c>
      <c r="O282" s="10">
        <v>-2.5999999999999999E-2</v>
      </c>
      <c r="P282" s="8">
        <f t="shared" si="1"/>
        <v>148.99</v>
      </c>
    </row>
    <row r="283" spans="1:16" ht="15">
      <c r="A283" s="6" t="s">
        <v>17</v>
      </c>
      <c r="B283" s="6" t="s">
        <v>18</v>
      </c>
      <c r="C283" s="6" t="s">
        <v>132</v>
      </c>
      <c r="D283" s="6" t="s">
        <v>133</v>
      </c>
      <c r="E283" s="7">
        <v>95.4</v>
      </c>
      <c r="F283" s="7">
        <v>95</v>
      </c>
      <c r="G283" s="7">
        <v>99.5</v>
      </c>
      <c r="H283" s="7">
        <v>95</v>
      </c>
      <c r="I283" s="7">
        <v>98.8</v>
      </c>
      <c r="J283" s="7">
        <v>436275</v>
      </c>
      <c r="K283" s="7">
        <v>4500</v>
      </c>
      <c r="L283" s="7">
        <v>239.8</v>
      </c>
      <c r="M283" s="7">
        <v>92.7</v>
      </c>
      <c r="N283" s="7">
        <v>96.74</v>
      </c>
      <c r="O283" s="10">
        <v>3.56E-2</v>
      </c>
      <c r="P283" s="8">
        <f t="shared" si="1"/>
        <v>96.74</v>
      </c>
    </row>
    <row r="284" spans="1:16" ht="15">
      <c r="A284" s="6" t="s">
        <v>17</v>
      </c>
      <c r="B284" s="6" t="s">
        <v>35</v>
      </c>
      <c r="C284" s="6" t="s">
        <v>385</v>
      </c>
      <c r="D284" s="6" t="s">
        <v>386</v>
      </c>
      <c r="E284" s="7">
        <v>129.75</v>
      </c>
      <c r="F284" s="7">
        <v>126.1</v>
      </c>
      <c r="G284" s="7">
        <v>126.1</v>
      </c>
      <c r="H284" s="7">
        <v>123.3</v>
      </c>
      <c r="I284" s="7">
        <v>123.3</v>
      </c>
      <c r="J284" s="7">
        <v>434025</v>
      </c>
      <c r="K284" s="7">
        <v>3500</v>
      </c>
      <c r="L284" s="7">
        <v>336</v>
      </c>
      <c r="M284" s="7">
        <v>110.2</v>
      </c>
      <c r="N284" s="7">
        <v>125.71</v>
      </c>
      <c r="O284" s="10">
        <v>-4.9700000000000001E-2</v>
      </c>
      <c r="P284" s="8">
        <f t="shared" si="1"/>
        <v>125.71</v>
      </c>
    </row>
    <row r="285" spans="1:16" ht="15">
      <c r="A285" s="6" t="s">
        <v>17</v>
      </c>
      <c r="B285" s="6" t="s">
        <v>18</v>
      </c>
      <c r="C285" s="6" t="s">
        <v>359</v>
      </c>
      <c r="D285" s="6" t="s">
        <v>360</v>
      </c>
      <c r="E285" s="7">
        <v>356.3</v>
      </c>
      <c r="F285" s="7">
        <v>355</v>
      </c>
      <c r="G285" s="7">
        <v>361.5</v>
      </c>
      <c r="H285" s="7">
        <v>353</v>
      </c>
      <c r="I285" s="7">
        <v>361.5</v>
      </c>
      <c r="J285" s="7">
        <v>427800</v>
      </c>
      <c r="K285" s="7">
        <v>1200</v>
      </c>
      <c r="L285" s="7">
        <v>575</v>
      </c>
      <c r="M285" s="7">
        <v>325.5</v>
      </c>
      <c r="N285" s="7">
        <v>357.46</v>
      </c>
      <c r="O285" s="10">
        <v>1.46E-2</v>
      </c>
      <c r="P285" s="8">
        <f t="shared" si="1"/>
        <v>357.46</v>
      </c>
    </row>
    <row r="286" spans="1:16" ht="15">
      <c r="A286" s="6" t="s">
        <v>17</v>
      </c>
      <c r="B286" s="6" t="s">
        <v>18</v>
      </c>
      <c r="C286" s="6" t="s">
        <v>780</v>
      </c>
      <c r="D286" s="6" t="s">
        <v>781</v>
      </c>
      <c r="E286" s="7">
        <v>112.9</v>
      </c>
      <c r="F286" s="7">
        <v>118</v>
      </c>
      <c r="G286" s="7">
        <v>118.5</v>
      </c>
      <c r="H286" s="7">
        <v>118</v>
      </c>
      <c r="I286" s="7">
        <v>118.3</v>
      </c>
      <c r="J286" s="7">
        <v>425940</v>
      </c>
      <c r="K286" s="7">
        <v>3600</v>
      </c>
      <c r="L286" s="7">
        <v>152.35</v>
      </c>
      <c r="M286" s="7">
        <v>88.05</v>
      </c>
      <c r="N286" s="7">
        <v>117.14</v>
      </c>
      <c r="O286" s="10">
        <v>4.7800000000000002E-2</v>
      </c>
      <c r="P286" s="8">
        <f t="shared" si="1"/>
        <v>117.13999999999999</v>
      </c>
    </row>
    <row r="287" spans="1:16" ht="15">
      <c r="A287" s="6" t="s">
        <v>17</v>
      </c>
      <c r="B287" s="6" t="s">
        <v>18</v>
      </c>
      <c r="C287" s="6" t="s">
        <v>598</v>
      </c>
      <c r="D287" s="6" t="s">
        <v>599</v>
      </c>
      <c r="E287" s="7">
        <v>138</v>
      </c>
      <c r="F287" s="7">
        <v>132.15</v>
      </c>
      <c r="G287" s="7">
        <v>133</v>
      </c>
      <c r="H287" s="7">
        <v>132.15</v>
      </c>
      <c r="I287" s="7">
        <v>132.55000000000001</v>
      </c>
      <c r="J287" s="7">
        <v>424300</v>
      </c>
      <c r="K287" s="7">
        <v>3200</v>
      </c>
      <c r="L287" s="7">
        <v>216.8</v>
      </c>
      <c r="M287" s="7">
        <v>126.5</v>
      </c>
      <c r="N287" s="7">
        <v>133.57</v>
      </c>
      <c r="O287" s="10">
        <v>-3.95E-2</v>
      </c>
      <c r="P287" s="8">
        <f t="shared" si="1"/>
        <v>133.57</v>
      </c>
    </row>
    <row r="288" spans="1:16" ht="15">
      <c r="A288" s="6" t="s">
        <v>17</v>
      </c>
      <c r="B288" s="6" t="s">
        <v>18</v>
      </c>
      <c r="C288" s="6" t="s">
        <v>122</v>
      </c>
      <c r="D288" s="6" t="s">
        <v>123</v>
      </c>
      <c r="E288" s="7">
        <v>140.80000000000001</v>
      </c>
      <c r="F288" s="7">
        <v>140.80000000000001</v>
      </c>
      <c r="G288" s="7">
        <v>140.80000000000001</v>
      </c>
      <c r="H288" s="7">
        <v>140</v>
      </c>
      <c r="I288" s="7">
        <v>140</v>
      </c>
      <c r="J288" s="7">
        <v>421300</v>
      </c>
      <c r="K288" s="7">
        <v>3000</v>
      </c>
      <c r="L288" s="7">
        <v>184.7</v>
      </c>
      <c r="M288" s="7">
        <v>72.599999999999994</v>
      </c>
      <c r="N288" s="7">
        <v>140.47999999999999</v>
      </c>
      <c r="O288" s="10">
        <v>-5.7000000000000002E-3</v>
      </c>
      <c r="P288" s="8">
        <f t="shared" si="1"/>
        <v>140.48000000000002</v>
      </c>
    </row>
    <row r="289" spans="1:16" ht="15">
      <c r="A289" s="6" t="s">
        <v>17</v>
      </c>
      <c r="B289" s="6" t="s">
        <v>18</v>
      </c>
      <c r="C289" s="6" t="s">
        <v>776</v>
      </c>
      <c r="D289" s="6" t="s">
        <v>777</v>
      </c>
      <c r="E289" s="7">
        <v>38.5</v>
      </c>
      <c r="F289" s="7">
        <v>37.950000000000003</v>
      </c>
      <c r="G289" s="7">
        <v>39.1</v>
      </c>
      <c r="H289" s="7">
        <v>37.75</v>
      </c>
      <c r="I289" s="7">
        <v>39.1</v>
      </c>
      <c r="J289" s="7">
        <v>419300</v>
      </c>
      <c r="K289" s="7">
        <v>11000</v>
      </c>
      <c r="L289" s="7">
        <v>118</v>
      </c>
      <c r="M289" s="7">
        <v>37.6</v>
      </c>
      <c r="N289" s="7">
        <v>38.479999999999997</v>
      </c>
      <c r="O289" s="10">
        <v>1.5599999999999999E-2</v>
      </c>
      <c r="P289" s="8">
        <f t="shared" si="1"/>
        <v>38.480000000000004</v>
      </c>
    </row>
    <row r="290" spans="1:16" ht="15">
      <c r="A290" s="6" t="s">
        <v>17</v>
      </c>
      <c r="B290" s="6" t="s">
        <v>18</v>
      </c>
      <c r="C290" s="6" t="s">
        <v>517</v>
      </c>
      <c r="D290" s="6" t="s">
        <v>518</v>
      </c>
      <c r="E290" s="7">
        <v>98</v>
      </c>
      <c r="F290" s="7">
        <v>100</v>
      </c>
      <c r="G290" s="7">
        <v>102.35</v>
      </c>
      <c r="H290" s="7">
        <v>100</v>
      </c>
      <c r="I290" s="7">
        <v>100.2</v>
      </c>
      <c r="J290" s="7">
        <v>401960</v>
      </c>
      <c r="K290" s="7">
        <v>4000</v>
      </c>
      <c r="L290" s="7">
        <v>206.85</v>
      </c>
      <c r="M290" s="7">
        <v>95</v>
      </c>
      <c r="N290" s="7">
        <v>100.11</v>
      </c>
      <c r="O290" s="10">
        <v>2.24E-2</v>
      </c>
      <c r="P290" s="8">
        <f t="shared" si="1"/>
        <v>100.11</v>
      </c>
    </row>
    <row r="291" spans="1:16" ht="15">
      <c r="A291" s="6" t="s">
        <v>17</v>
      </c>
      <c r="B291" s="6" t="s">
        <v>18</v>
      </c>
      <c r="C291" s="6" t="s">
        <v>784</v>
      </c>
      <c r="D291" s="6" t="s">
        <v>785</v>
      </c>
      <c r="E291" s="7">
        <v>51.5</v>
      </c>
      <c r="F291" s="7">
        <v>50</v>
      </c>
      <c r="G291" s="7">
        <v>50</v>
      </c>
      <c r="H291" s="7">
        <v>49.5</v>
      </c>
      <c r="I291" s="7">
        <v>49.85</v>
      </c>
      <c r="J291" s="7">
        <v>399000</v>
      </c>
      <c r="K291" s="7">
        <v>8000</v>
      </c>
      <c r="L291" s="7">
        <v>60</v>
      </c>
      <c r="M291" s="7">
        <v>46.55</v>
      </c>
      <c r="N291" s="7">
        <v>50.17</v>
      </c>
      <c r="O291" s="10">
        <v>-3.2000000000000001E-2</v>
      </c>
      <c r="P291" s="8">
        <f t="shared" si="1"/>
        <v>50.17</v>
      </c>
    </row>
    <row r="292" spans="1:16" ht="15">
      <c r="A292" s="6" t="s">
        <v>17</v>
      </c>
      <c r="B292" s="6" t="s">
        <v>18</v>
      </c>
      <c r="C292" s="6" t="s">
        <v>391</v>
      </c>
      <c r="D292" s="6" t="s">
        <v>392</v>
      </c>
      <c r="E292" s="7">
        <v>10.45</v>
      </c>
      <c r="F292" s="7">
        <v>10.95</v>
      </c>
      <c r="G292" s="7">
        <v>10.95</v>
      </c>
      <c r="H292" s="7">
        <v>10.95</v>
      </c>
      <c r="I292" s="7">
        <v>10.95</v>
      </c>
      <c r="J292" s="7">
        <v>394200</v>
      </c>
      <c r="K292" s="7">
        <v>36000</v>
      </c>
      <c r="L292" s="7">
        <v>22.7</v>
      </c>
      <c r="M292" s="7">
        <v>10</v>
      </c>
      <c r="N292" s="7">
        <v>10.85</v>
      </c>
      <c r="O292" s="10">
        <v>4.7800000000000002E-2</v>
      </c>
      <c r="P292" s="8">
        <f t="shared" si="1"/>
        <v>10.85</v>
      </c>
    </row>
    <row r="293" spans="1:16" ht="15">
      <c r="A293" s="6" t="s">
        <v>17</v>
      </c>
      <c r="B293" s="6" t="s">
        <v>18</v>
      </c>
      <c r="C293" s="6" t="s">
        <v>333</v>
      </c>
      <c r="D293" s="6" t="s">
        <v>334</v>
      </c>
      <c r="E293" s="7">
        <v>30.05</v>
      </c>
      <c r="F293" s="7">
        <v>30</v>
      </c>
      <c r="G293" s="7">
        <v>30.05</v>
      </c>
      <c r="H293" s="7">
        <v>30</v>
      </c>
      <c r="I293" s="7">
        <v>30</v>
      </c>
      <c r="J293" s="7">
        <v>384160</v>
      </c>
      <c r="K293" s="7">
        <v>12800</v>
      </c>
      <c r="L293" s="7">
        <v>60</v>
      </c>
      <c r="M293" s="7">
        <v>27</v>
      </c>
      <c r="N293" s="7">
        <v>30.02</v>
      </c>
      <c r="O293" s="10">
        <v>-1.6999999999999999E-3</v>
      </c>
      <c r="P293" s="8">
        <f t="shared" si="1"/>
        <v>30.02</v>
      </c>
    </row>
    <row r="294" spans="1:16" ht="15">
      <c r="A294" s="6" t="s">
        <v>17</v>
      </c>
      <c r="B294" s="6" t="s">
        <v>18</v>
      </c>
      <c r="C294" s="6" t="s">
        <v>722</v>
      </c>
      <c r="D294" s="6" t="s">
        <v>723</v>
      </c>
      <c r="E294" s="7">
        <v>130.65</v>
      </c>
      <c r="F294" s="7">
        <v>128</v>
      </c>
      <c r="G294" s="7">
        <v>128</v>
      </c>
      <c r="H294" s="7">
        <v>128</v>
      </c>
      <c r="I294" s="7">
        <v>128</v>
      </c>
      <c r="J294" s="7">
        <v>384000</v>
      </c>
      <c r="K294" s="7">
        <v>3000</v>
      </c>
      <c r="L294" s="7">
        <v>159.5</v>
      </c>
      <c r="M294" s="7">
        <v>68.05</v>
      </c>
      <c r="N294" s="7">
        <v>128.53</v>
      </c>
      <c r="O294" s="10">
        <v>-2.0299999999999999E-2</v>
      </c>
      <c r="P294" s="8">
        <f t="shared" si="1"/>
        <v>128.53</v>
      </c>
    </row>
    <row r="295" spans="1:16" ht="15">
      <c r="A295" s="6" t="s">
        <v>17</v>
      </c>
      <c r="B295" s="6" t="s">
        <v>18</v>
      </c>
      <c r="C295" s="6" t="s">
        <v>64</v>
      </c>
      <c r="D295" s="6" t="s">
        <v>65</v>
      </c>
      <c r="E295" s="7">
        <v>32</v>
      </c>
      <c r="F295" s="7">
        <v>32.1</v>
      </c>
      <c r="G295" s="7">
        <v>32.1</v>
      </c>
      <c r="H295" s="7">
        <v>31.25</v>
      </c>
      <c r="I295" s="7">
        <v>31.35</v>
      </c>
      <c r="J295" s="7">
        <v>381100</v>
      </c>
      <c r="K295" s="7">
        <v>12000</v>
      </c>
      <c r="L295" s="7">
        <v>60</v>
      </c>
      <c r="M295" s="7">
        <v>28.85</v>
      </c>
      <c r="N295" s="7">
        <v>31.76</v>
      </c>
      <c r="O295" s="10">
        <v>-2.0299999999999999E-2</v>
      </c>
      <c r="P295" s="8">
        <f t="shared" si="1"/>
        <v>31.759999999999998</v>
      </c>
    </row>
    <row r="296" spans="1:16" ht="15">
      <c r="A296" s="6" t="s">
        <v>17</v>
      </c>
      <c r="B296" s="6" t="s">
        <v>18</v>
      </c>
      <c r="C296" s="6" t="s">
        <v>766</v>
      </c>
      <c r="D296" s="6" t="s">
        <v>767</v>
      </c>
      <c r="E296" s="7">
        <v>227.9</v>
      </c>
      <c r="F296" s="7">
        <v>243</v>
      </c>
      <c r="G296" s="7">
        <v>243</v>
      </c>
      <c r="H296" s="7">
        <v>230</v>
      </c>
      <c r="I296" s="7">
        <v>230</v>
      </c>
      <c r="J296" s="7">
        <v>375200</v>
      </c>
      <c r="K296" s="7">
        <v>1600</v>
      </c>
      <c r="L296" s="7">
        <v>418.2</v>
      </c>
      <c r="M296" s="7">
        <v>220.4</v>
      </c>
      <c r="N296" s="7">
        <v>234.78</v>
      </c>
      <c r="O296" s="10">
        <v>9.1999999999999998E-3</v>
      </c>
      <c r="P296" s="8">
        <f t="shared" si="1"/>
        <v>234.78000000000003</v>
      </c>
    </row>
    <row r="297" spans="1:16" ht="15">
      <c r="A297" s="6" t="s">
        <v>17</v>
      </c>
      <c r="B297" s="6" t="s">
        <v>18</v>
      </c>
      <c r="C297" s="6" t="s">
        <v>209</v>
      </c>
      <c r="D297" s="6" t="s">
        <v>210</v>
      </c>
      <c r="E297" s="7">
        <v>64.45</v>
      </c>
      <c r="F297" s="7">
        <v>62.95</v>
      </c>
      <c r="G297" s="7">
        <v>63</v>
      </c>
      <c r="H297" s="7">
        <v>61.7</v>
      </c>
      <c r="I297" s="7">
        <v>62.25</v>
      </c>
      <c r="J297" s="7">
        <v>374220</v>
      </c>
      <c r="K297" s="7">
        <v>6000</v>
      </c>
      <c r="L297" s="7">
        <v>255.15</v>
      </c>
      <c r="M297" s="7">
        <v>61.25</v>
      </c>
      <c r="N297" s="7">
        <v>62.87</v>
      </c>
      <c r="O297" s="10">
        <v>-3.4099999999999998E-2</v>
      </c>
      <c r="P297" s="8">
        <f t="shared" si="1"/>
        <v>62.870000000000005</v>
      </c>
    </row>
    <row r="298" spans="1:16" ht="15">
      <c r="A298" s="6" t="s">
        <v>17</v>
      </c>
      <c r="B298" s="6" t="s">
        <v>18</v>
      </c>
      <c r="C298" s="6" t="s">
        <v>957</v>
      </c>
      <c r="D298" s="6" t="s">
        <v>958</v>
      </c>
      <c r="E298" s="7">
        <v>104</v>
      </c>
      <c r="F298" s="7">
        <v>102.25</v>
      </c>
      <c r="G298" s="7">
        <v>106.5</v>
      </c>
      <c r="H298" s="7">
        <v>101.05</v>
      </c>
      <c r="I298" s="7">
        <v>101.05</v>
      </c>
      <c r="J298" s="7">
        <v>371310</v>
      </c>
      <c r="K298" s="7">
        <v>3600</v>
      </c>
      <c r="L298" s="7">
        <v>150</v>
      </c>
      <c r="M298" s="7">
        <v>76.95</v>
      </c>
      <c r="N298" s="7">
        <v>102.97</v>
      </c>
      <c r="O298" s="10">
        <v>-2.8400000000000002E-2</v>
      </c>
      <c r="P298" s="8">
        <f t="shared" si="1"/>
        <v>102.97</v>
      </c>
    </row>
    <row r="299" spans="1:16" ht="15">
      <c r="A299" s="6" t="s">
        <v>17</v>
      </c>
      <c r="B299" s="6" t="s">
        <v>18</v>
      </c>
      <c r="C299" s="6" t="s">
        <v>573</v>
      </c>
      <c r="D299" s="6" t="s">
        <v>574</v>
      </c>
      <c r="E299" s="7">
        <v>302</v>
      </c>
      <c r="F299" s="7">
        <v>303</v>
      </c>
      <c r="G299" s="7">
        <v>310</v>
      </c>
      <c r="H299" s="7">
        <v>303</v>
      </c>
      <c r="I299" s="7">
        <v>310</v>
      </c>
      <c r="J299" s="7">
        <v>368700</v>
      </c>
      <c r="K299" s="7">
        <v>1200</v>
      </c>
      <c r="L299" s="7">
        <v>461</v>
      </c>
      <c r="M299" s="7">
        <v>280.05</v>
      </c>
      <c r="N299" s="7">
        <v>305.60000000000002</v>
      </c>
      <c r="O299" s="10">
        <v>2.6499999999999999E-2</v>
      </c>
      <c r="P299" s="8">
        <f t="shared" si="1"/>
        <v>305.60000000000002</v>
      </c>
    </row>
    <row r="300" spans="1:16" ht="15">
      <c r="A300" s="6" t="s">
        <v>17</v>
      </c>
      <c r="B300" s="6" t="s">
        <v>18</v>
      </c>
      <c r="C300" s="6" t="s">
        <v>710</v>
      </c>
      <c r="D300" s="6" t="s">
        <v>711</v>
      </c>
      <c r="E300" s="7">
        <v>52.8</v>
      </c>
      <c r="F300" s="7">
        <v>54</v>
      </c>
      <c r="G300" s="7">
        <v>60.45</v>
      </c>
      <c r="H300" s="7">
        <v>54</v>
      </c>
      <c r="I300" s="7">
        <v>55.5</v>
      </c>
      <c r="J300" s="7">
        <v>362560</v>
      </c>
      <c r="K300" s="7">
        <v>6400</v>
      </c>
      <c r="L300" s="7">
        <v>118.9</v>
      </c>
      <c r="M300" s="7">
        <v>47.2</v>
      </c>
      <c r="N300" s="7">
        <v>55.35</v>
      </c>
      <c r="O300" s="10">
        <v>5.11E-2</v>
      </c>
      <c r="P300" s="8">
        <f t="shared" si="1"/>
        <v>55.35</v>
      </c>
    </row>
    <row r="301" spans="1:16" ht="15">
      <c r="A301" s="6" t="s">
        <v>17</v>
      </c>
      <c r="B301" s="6" t="s">
        <v>18</v>
      </c>
      <c r="C301" s="6" t="s">
        <v>86</v>
      </c>
      <c r="D301" s="6" t="s">
        <v>87</v>
      </c>
      <c r="E301" s="7">
        <v>435</v>
      </c>
      <c r="F301" s="7">
        <v>448.95</v>
      </c>
      <c r="G301" s="7">
        <v>455</v>
      </c>
      <c r="H301" s="7">
        <v>448.95</v>
      </c>
      <c r="I301" s="7">
        <v>455</v>
      </c>
      <c r="J301" s="7">
        <v>361580</v>
      </c>
      <c r="K301" s="7">
        <v>800</v>
      </c>
      <c r="L301" s="7">
        <v>540</v>
      </c>
      <c r="M301" s="7">
        <v>200</v>
      </c>
      <c r="N301" s="7">
        <v>448.58</v>
      </c>
      <c r="O301" s="10">
        <v>4.5999999999999999E-2</v>
      </c>
      <c r="P301" s="8">
        <f t="shared" si="1"/>
        <v>448.58000000000004</v>
      </c>
    </row>
    <row r="302" spans="1:16" ht="15">
      <c r="A302" s="6" t="s">
        <v>17</v>
      </c>
      <c r="B302" s="6" t="s">
        <v>18</v>
      </c>
      <c r="C302" s="6" t="s">
        <v>796</v>
      </c>
      <c r="D302" s="6" t="s">
        <v>797</v>
      </c>
      <c r="E302" s="7">
        <v>11.4</v>
      </c>
      <c r="F302" s="7">
        <v>11.4</v>
      </c>
      <c r="G302" s="7">
        <v>11.4</v>
      </c>
      <c r="H302" s="7">
        <v>11</v>
      </c>
      <c r="I302" s="7">
        <v>11.2</v>
      </c>
      <c r="J302" s="7">
        <v>356600</v>
      </c>
      <c r="K302" s="7">
        <v>32000</v>
      </c>
      <c r="L302" s="7">
        <v>43.2</v>
      </c>
      <c r="M302" s="7">
        <v>10.15</v>
      </c>
      <c r="N302" s="7">
        <v>11.28</v>
      </c>
      <c r="O302" s="10">
        <v>-1.7500000000000002E-2</v>
      </c>
      <c r="P302" s="8">
        <f t="shared" si="1"/>
        <v>11.280000000000001</v>
      </c>
    </row>
    <row r="303" spans="1:16" ht="15">
      <c r="A303" s="6" t="s">
        <v>17</v>
      </c>
      <c r="B303" s="6" t="s">
        <v>18</v>
      </c>
      <c r="C303" s="6" t="s">
        <v>247</v>
      </c>
      <c r="D303" s="6" t="s">
        <v>248</v>
      </c>
      <c r="E303" s="7">
        <v>97</v>
      </c>
      <c r="F303" s="7">
        <v>97</v>
      </c>
      <c r="G303" s="7">
        <v>97</v>
      </c>
      <c r="H303" s="7">
        <v>90.05</v>
      </c>
      <c r="I303" s="7">
        <v>95</v>
      </c>
      <c r="J303" s="7">
        <v>353850</v>
      </c>
      <c r="K303" s="7">
        <v>3750</v>
      </c>
      <c r="L303" s="7">
        <v>480</v>
      </c>
      <c r="M303" s="7">
        <v>90.05</v>
      </c>
      <c r="N303" s="7">
        <v>95.21</v>
      </c>
      <c r="O303" s="10">
        <v>-2.06E-2</v>
      </c>
      <c r="P303" s="8">
        <f t="shared" si="1"/>
        <v>95.210000000000008</v>
      </c>
    </row>
    <row r="304" spans="1:16" ht="15">
      <c r="A304" s="6" t="s">
        <v>17</v>
      </c>
      <c r="B304" s="6" t="s">
        <v>18</v>
      </c>
      <c r="C304" s="6" t="s">
        <v>959</v>
      </c>
      <c r="D304" s="6" t="s">
        <v>960</v>
      </c>
      <c r="E304" s="7">
        <v>21</v>
      </c>
      <c r="F304" s="7">
        <v>21.3</v>
      </c>
      <c r="G304" s="7">
        <v>21.45</v>
      </c>
      <c r="H304" s="7">
        <v>21</v>
      </c>
      <c r="I304" s="7">
        <v>21</v>
      </c>
      <c r="J304" s="7">
        <v>352631.4</v>
      </c>
      <c r="K304" s="7">
        <v>16665</v>
      </c>
      <c r="L304" s="7">
        <v>34.85</v>
      </c>
      <c r="M304" s="7">
        <v>19.3</v>
      </c>
      <c r="N304" s="7">
        <v>21.15</v>
      </c>
      <c r="O304" s="10">
        <v>0</v>
      </c>
      <c r="P304" s="8">
        <f t="shared" si="1"/>
        <v>21.15</v>
      </c>
    </row>
    <row r="305" spans="1:16" ht="15">
      <c r="A305" s="6" t="s">
        <v>17</v>
      </c>
      <c r="B305" s="6" t="s">
        <v>18</v>
      </c>
      <c r="C305" s="6" t="s">
        <v>168</v>
      </c>
      <c r="D305" s="6" t="s">
        <v>169</v>
      </c>
      <c r="E305" s="7">
        <v>45.15</v>
      </c>
      <c r="F305" s="7">
        <v>43</v>
      </c>
      <c r="G305" s="7">
        <v>44.5</v>
      </c>
      <c r="H305" s="7">
        <v>43</v>
      </c>
      <c r="I305" s="7">
        <v>44</v>
      </c>
      <c r="J305" s="7">
        <v>351200</v>
      </c>
      <c r="K305" s="7">
        <v>8000</v>
      </c>
      <c r="L305" s="7">
        <v>129</v>
      </c>
      <c r="M305" s="7">
        <v>43</v>
      </c>
      <c r="N305" s="7">
        <v>43.93</v>
      </c>
      <c r="O305" s="10">
        <v>-2.5499999999999998E-2</v>
      </c>
      <c r="P305" s="8">
        <f t="shared" si="1"/>
        <v>43.93</v>
      </c>
    </row>
    <row r="306" spans="1:16" ht="15">
      <c r="A306" s="6" t="s">
        <v>17</v>
      </c>
      <c r="B306" s="6" t="s">
        <v>18</v>
      </c>
      <c r="C306" s="6" t="s">
        <v>457</v>
      </c>
      <c r="D306" s="6" t="s">
        <v>458</v>
      </c>
      <c r="E306" s="7">
        <v>43.7</v>
      </c>
      <c r="F306" s="7">
        <v>41.55</v>
      </c>
      <c r="G306" s="7">
        <v>45.85</v>
      </c>
      <c r="H306" s="7">
        <v>41.55</v>
      </c>
      <c r="I306" s="7">
        <v>45.8</v>
      </c>
      <c r="J306" s="7">
        <v>350240</v>
      </c>
      <c r="K306" s="7">
        <v>8000</v>
      </c>
      <c r="L306" s="7">
        <v>80.2</v>
      </c>
      <c r="M306" s="7">
        <v>26.25</v>
      </c>
      <c r="N306" s="7">
        <v>43.69</v>
      </c>
      <c r="O306" s="10">
        <v>4.8099999999999997E-2</v>
      </c>
      <c r="P306" s="8">
        <f t="shared" si="1"/>
        <v>43.69</v>
      </c>
    </row>
    <row r="307" spans="1:16" ht="15">
      <c r="A307" s="6" t="s">
        <v>17</v>
      </c>
      <c r="B307" s="6" t="s">
        <v>18</v>
      </c>
      <c r="C307" s="6" t="s">
        <v>961</v>
      </c>
      <c r="D307" s="6" t="s">
        <v>962</v>
      </c>
      <c r="E307" s="7">
        <v>32</v>
      </c>
      <c r="F307" s="7">
        <v>30.05</v>
      </c>
      <c r="G307" s="7">
        <v>31.95</v>
      </c>
      <c r="H307" s="7">
        <v>30</v>
      </c>
      <c r="I307" s="7">
        <v>31.95</v>
      </c>
      <c r="J307" s="7">
        <v>342400</v>
      </c>
      <c r="K307" s="7">
        <v>11200</v>
      </c>
      <c r="L307" s="7">
        <v>84.95</v>
      </c>
      <c r="M307" s="7">
        <v>30</v>
      </c>
      <c r="N307" s="7">
        <v>31.19</v>
      </c>
      <c r="O307" s="10">
        <v>-1.6000000000000001E-3</v>
      </c>
      <c r="P307" s="8">
        <f t="shared" si="1"/>
        <v>31.189999999999998</v>
      </c>
    </row>
    <row r="308" spans="1:16" ht="15">
      <c r="A308" s="6" t="s">
        <v>17</v>
      </c>
      <c r="B308" s="6" t="s">
        <v>18</v>
      </c>
      <c r="C308" s="6" t="s">
        <v>712</v>
      </c>
      <c r="D308" s="6" t="s">
        <v>713</v>
      </c>
      <c r="E308" s="7">
        <v>142.6</v>
      </c>
      <c r="F308" s="7">
        <v>143</v>
      </c>
      <c r="G308" s="7">
        <v>143</v>
      </c>
      <c r="H308" s="7">
        <v>141</v>
      </c>
      <c r="I308" s="7">
        <v>141</v>
      </c>
      <c r="J308" s="7">
        <v>340800</v>
      </c>
      <c r="K308" s="7">
        <v>2400</v>
      </c>
      <c r="L308" s="7">
        <v>191</v>
      </c>
      <c r="M308" s="7">
        <v>121</v>
      </c>
      <c r="N308" s="7">
        <v>142.12</v>
      </c>
      <c r="O308" s="10">
        <v>-1.12E-2</v>
      </c>
      <c r="P308" s="8">
        <f t="shared" si="1"/>
        <v>142.12</v>
      </c>
    </row>
    <row r="309" spans="1:16" ht="15">
      <c r="A309" s="6" t="s">
        <v>17</v>
      </c>
      <c r="B309" s="6" t="s">
        <v>18</v>
      </c>
      <c r="C309" s="6" t="s">
        <v>315</v>
      </c>
      <c r="D309" s="6" t="s">
        <v>316</v>
      </c>
      <c r="E309" s="7">
        <v>144</v>
      </c>
      <c r="F309" s="7">
        <v>141.5</v>
      </c>
      <c r="G309" s="7">
        <v>141.5</v>
      </c>
      <c r="H309" s="7">
        <v>141</v>
      </c>
      <c r="I309" s="7">
        <v>141.05000000000001</v>
      </c>
      <c r="J309" s="7">
        <v>338760</v>
      </c>
      <c r="K309" s="7">
        <v>2400</v>
      </c>
      <c r="L309" s="7">
        <v>204</v>
      </c>
      <c r="M309" s="7">
        <v>124.5</v>
      </c>
      <c r="N309" s="7">
        <v>141.81</v>
      </c>
      <c r="O309" s="10">
        <v>-2.0500000000000001E-2</v>
      </c>
      <c r="P309" s="8">
        <f t="shared" si="1"/>
        <v>141.81</v>
      </c>
    </row>
    <row r="310" spans="1:16" ht="15">
      <c r="A310" s="6" t="s">
        <v>17</v>
      </c>
      <c r="B310" s="6" t="s">
        <v>18</v>
      </c>
      <c r="C310" s="6" t="s">
        <v>674</v>
      </c>
      <c r="D310" s="6" t="s">
        <v>675</v>
      </c>
      <c r="E310" s="7">
        <v>106.6</v>
      </c>
      <c r="F310" s="7">
        <v>99.15</v>
      </c>
      <c r="G310" s="7">
        <v>105.9</v>
      </c>
      <c r="H310" s="7">
        <v>99.15</v>
      </c>
      <c r="I310" s="7">
        <v>102.15</v>
      </c>
      <c r="J310" s="7">
        <v>337005</v>
      </c>
      <c r="K310" s="7">
        <v>3300</v>
      </c>
      <c r="L310" s="7">
        <v>222</v>
      </c>
      <c r="M310" s="7">
        <v>98</v>
      </c>
      <c r="N310" s="7">
        <v>102.59</v>
      </c>
      <c r="O310" s="10">
        <v>-4.1700000000000001E-2</v>
      </c>
      <c r="P310" s="8">
        <f t="shared" si="1"/>
        <v>102.58999999999999</v>
      </c>
    </row>
    <row r="311" spans="1:16" ht="15">
      <c r="A311" s="6" t="s">
        <v>17</v>
      </c>
      <c r="B311" s="6" t="s">
        <v>18</v>
      </c>
      <c r="C311" s="6" t="s">
        <v>778</v>
      </c>
      <c r="D311" s="6" t="s">
        <v>779</v>
      </c>
      <c r="E311" s="7">
        <v>71.3</v>
      </c>
      <c r="F311" s="7">
        <v>74</v>
      </c>
      <c r="G311" s="7">
        <v>74.95</v>
      </c>
      <c r="H311" s="7">
        <v>74</v>
      </c>
      <c r="I311" s="7">
        <v>74.95</v>
      </c>
      <c r="J311" s="7">
        <v>335625</v>
      </c>
      <c r="K311" s="7">
        <v>4500</v>
      </c>
      <c r="L311" s="7">
        <v>145</v>
      </c>
      <c r="M311" s="7">
        <v>68.599999999999994</v>
      </c>
      <c r="N311" s="7">
        <v>73.84</v>
      </c>
      <c r="O311" s="10">
        <v>5.1200000000000002E-2</v>
      </c>
      <c r="P311" s="8">
        <f t="shared" si="1"/>
        <v>73.84</v>
      </c>
    </row>
    <row r="312" spans="1:16" ht="15">
      <c r="A312" s="6" t="s">
        <v>17</v>
      </c>
      <c r="B312" s="6" t="s">
        <v>18</v>
      </c>
      <c r="C312" s="6" t="s">
        <v>754</v>
      </c>
      <c r="D312" s="6" t="s">
        <v>755</v>
      </c>
      <c r="E312" s="7">
        <v>30.7</v>
      </c>
      <c r="F312" s="7">
        <v>31.8</v>
      </c>
      <c r="G312" s="7">
        <v>31.8</v>
      </c>
      <c r="H312" s="7">
        <v>30.3</v>
      </c>
      <c r="I312" s="7">
        <v>30.65</v>
      </c>
      <c r="J312" s="7">
        <v>334200</v>
      </c>
      <c r="K312" s="7">
        <v>10800</v>
      </c>
      <c r="L312" s="7">
        <v>86.4</v>
      </c>
      <c r="M312" s="7">
        <v>27.15</v>
      </c>
      <c r="N312" s="7">
        <v>31.05</v>
      </c>
      <c r="O312" s="10">
        <v>-1.6000000000000001E-3</v>
      </c>
      <c r="P312" s="8">
        <f t="shared" si="1"/>
        <v>31.05</v>
      </c>
    </row>
    <row r="313" spans="1:16" ht="15">
      <c r="A313" s="6" t="s">
        <v>17</v>
      </c>
      <c r="B313" s="6" t="s">
        <v>18</v>
      </c>
      <c r="C313" s="6" t="s">
        <v>736</v>
      </c>
      <c r="D313" s="6" t="s">
        <v>737</v>
      </c>
      <c r="E313" s="7">
        <v>436</v>
      </c>
      <c r="F313" s="7">
        <v>444.75</v>
      </c>
      <c r="G313" s="7">
        <v>444.75</v>
      </c>
      <c r="H313" s="7">
        <v>430</v>
      </c>
      <c r="I313" s="7">
        <v>440</v>
      </c>
      <c r="J313" s="7">
        <v>327712.5</v>
      </c>
      <c r="K313" s="7">
        <v>750</v>
      </c>
      <c r="L313" s="7">
        <v>798.9</v>
      </c>
      <c r="M313" s="7">
        <v>396</v>
      </c>
      <c r="N313" s="7">
        <v>439.1</v>
      </c>
      <c r="O313" s="10">
        <v>9.1999999999999998E-3</v>
      </c>
      <c r="P313" s="8">
        <f t="shared" si="1"/>
        <v>439.1</v>
      </c>
    </row>
    <row r="314" spans="1:16" ht="15">
      <c r="A314" s="6" t="s">
        <v>17</v>
      </c>
      <c r="B314" s="6" t="s">
        <v>18</v>
      </c>
      <c r="C314" s="6" t="s">
        <v>343</v>
      </c>
      <c r="D314" s="6" t="s">
        <v>344</v>
      </c>
      <c r="E314" s="7">
        <v>267</v>
      </c>
      <c r="F314" s="7">
        <v>267</v>
      </c>
      <c r="G314" s="7">
        <v>267</v>
      </c>
      <c r="H314" s="7">
        <v>265</v>
      </c>
      <c r="I314" s="7">
        <v>265</v>
      </c>
      <c r="J314" s="7">
        <v>319200</v>
      </c>
      <c r="K314" s="7">
        <v>1200</v>
      </c>
      <c r="L314" s="7">
        <v>327.39999999999998</v>
      </c>
      <c r="M314" s="7">
        <v>101.05</v>
      </c>
      <c r="N314" s="7">
        <v>266.2</v>
      </c>
      <c r="O314" s="10">
        <v>-7.4999999999999997E-3</v>
      </c>
      <c r="P314" s="8">
        <f t="shared" si="1"/>
        <v>266.2</v>
      </c>
    </row>
    <row r="315" spans="1:16" ht="15">
      <c r="A315" s="6" t="s">
        <v>17</v>
      </c>
      <c r="B315" s="6" t="s">
        <v>18</v>
      </c>
      <c r="C315" s="6" t="s">
        <v>241</v>
      </c>
      <c r="D315" s="6" t="s">
        <v>242</v>
      </c>
      <c r="E315" s="7">
        <v>75.2</v>
      </c>
      <c r="F315" s="7">
        <v>76.3</v>
      </c>
      <c r="G315" s="7">
        <v>81.7</v>
      </c>
      <c r="H315" s="7">
        <v>76.3</v>
      </c>
      <c r="I315" s="7">
        <v>81.599999999999994</v>
      </c>
      <c r="J315" s="7">
        <v>317000</v>
      </c>
      <c r="K315" s="7">
        <v>4000</v>
      </c>
      <c r="L315" s="7">
        <v>163.5</v>
      </c>
      <c r="M315" s="7">
        <v>74.150000000000006</v>
      </c>
      <c r="N315" s="7">
        <v>78.22</v>
      </c>
      <c r="O315" s="10">
        <v>8.5099999999999995E-2</v>
      </c>
      <c r="P315" s="8">
        <f t="shared" si="1"/>
        <v>78.22</v>
      </c>
    </row>
    <row r="316" spans="1:16" ht="15">
      <c r="A316" s="6" t="s">
        <v>17</v>
      </c>
      <c r="B316" s="6" t="s">
        <v>18</v>
      </c>
      <c r="C316" s="6" t="s">
        <v>614</v>
      </c>
      <c r="D316" s="6" t="s">
        <v>615</v>
      </c>
      <c r="E316" s="7">
        <v>64.05</v>
      </c>
      <c r="F316" s="7">
        <v>65.349999999999994</v>
      </c>
      <c r="G316" s="7">
        <v>67.95</v>
      </c>
      <c r="H316" s="7">
        <v>63</v>
      </c>
      <c r="I316" s="7">
        <v>67.95</v>
      </c>
      <c r="J316" s="7">
        <v>314080</v>
      </c>
      <c r="K316" s="7">
        <v>4800</v>
      </c>
      <c r="L316" s="7">
        <v>136.9</v>
      </c>
      <c r="M316" s="7">
        <v>56.9</v>
      </c>
      <c r="N316" s="7">
        <v>65.66</v>
      </c>
      <c r="O316" s="10">
        <v>6.0900000000000003E-2</v>
      </c>
      <c r="P316" s="8">
        <f t="shared" si="1"/>
        <v>65.66</v>
      </c>
    </row>
    <row r="317" spans="1:16" ht="15">
      <c r="A317" s="6" t="s">
        <v>17</v>
      </c>
      <c r="B317" s="6" t="s">
        <v>18</v>
      </c>
      <c r="C317" s="6" t="s">
        <v>772</v>
      </c>
      <c r="D317" s="6" t="s">
        <v>773</v>
      </c>
      <c r="E317" s="7">
        <v>48.1</v>
      </c>
      <c r="F317" s="7">
        <v>53</v>
      </c>
      <c r="G317" s="7">
        <v>53</v>
      </c>
      <c r="H317" s="7">
        <v>50.45</v>
      </c>
      <c r="I317" s="7">
        <v>51.95</v>
      </c>
      <c r="J317" s="7">
        <v>310750</v>
      </c>
      <c r="K317" s="7">
        <v>6000</v>
      </c>
      <c r="L317" s="7">
        <v>122</v>
      </c>
      <c r="M317" s="7">
        <v>45.15</v>
      </c>
      <c r="N317" s="7">
        <v>51.3</v>
      </c>
      <c r="O317" s="10">
        <v>0.08</v>
      </c>
      <c r="P317" s="8">
        <f t="shared" si="1"/>
        <v>51.3</v>
      </c>
    </row>
    <row r="318" spans="1:16" ht="15">
      <c r="A318" s="6" t="s">
        <v>17</v>
      </c>
      <c r="B318" s="6" t="s">
        <v>18</v>
      </c>
      <c r="C318" s="6" t="s">
        <v>371</v>
      </c>
      <c r="D318" s="6" t="s">
        <v>372</v>
      </c>
      <c r="E318" s="7">
        <v>64.45</v>
      </c>
      <c r="F318" s="7">
        <v>65</v>
      </c>
      <c r="G318" s="7">
        <v>65</v>
      </c>
      <c r="H318" s="7">
        <v>64.5</v>
      </c>
      <c r="I318" s="7">
        <v>64.5</v>
      </c>
      <c r="J318" s="7">
        <v>310400</v>
      </c>
      <c r="K318" s="7">
        <v>4800</v>
      </c>
      <c r="L318" s="7">
        <v>105</v>
      </c>
      <c r="M318" s="7">
        <v>60.6</v>
      </c>
      <c r="N318" s="7">
        <v>64.69</v>
      </c>
      <c r="O318" s="10">
        <v>8.0000000000000004E-4</v>
      </c>
      <c r="P318" s="8">
        <f t="shared" si="1"/>
        <v>64.69</v>
      </c>
    </row>
    <row r="319" spans="1:16" ht="15">
      <c r="A319" s="6" t="s">
        <v>17</v>
      </c>
      <c r="B319" s="6" t="s">
        <v>35</v>
      </c>
      <c r="C319" s="6" t="s">
        <v>285</v>
      </c>
      <c r="D319" s="6" t="s">
        <v>286</v>
      </c>
      <c r="E319" s="7">
        <v>80</v>
      </c>
      <c r="F319" s="7">
        <v>76.5</v>
      </c>
      <c r="G319" s="7">
        <v>76.5</v>
      </c>
      <c r="H319" s="7">
        <v>76</v>
      </c>
      <c r="I319" s="7">
        <v>76</v>
      </c>
      <c r="J319" s="7">
        <v>304600</v>
      </c>
      <c r="K319" s="7">
        <v>4000</v>
      </c>
      <c r="L319" s="7">
        <v>124.4</v>
      </c>
      <c r="M319" s="7">
        <v>68.849999999999994</v>
      </c>
      <c r="N319" s="7">
        <v>77</v>
      </c>
      <c r="O319" s="10">
        <v>-0.05</v>
      </c>
      <c r="P319" s="8">
        <f t="shared" si="1"/>
        <v>77</v>
      </c>
    </row>
    <row r="320" spans="1:16" ht="15">
      <c r="A320" s="6" t="s">
        <v>17</v>
      </c>
      <c r="B320" s="6" t="s">
        <v>18</v>
      </c>
      <c r="C320" s="6" t="s">
        <v>503</v>
      </c>
      <c r="D320" s="6" t="s">
        <v>504</v>
      </c>
      <c r="E320" s="7">
        <v>84.9</v>
      </c>
      <c r="F320" s="7">
        <v>81.150000000000006</v>
      </c>
      <c r="G320" s="7">
        <v>81.150000000000006</v>
      </c>
      <c r="H320" s="7">
        <v>81</v>
      </c>
      <c r="I320" s="7">
        <v>81</v>
      </c>
      <c r="J320" s="7">
        <v>291900</v>
      </c>
      <c r="K320" s="7">
        <v>3600</v>
      </c>
      <c r="L320" s="7">
        <v>143</v>
      </c>
      <c r="M320" s="7">
        <v>72</v>
      </c>
      <c r="N320" s="7">
        <v>81.84</v>
      </c>
      <c r="O320" s="10">
        <v>-4.5900000000000003E-2</v>
      </c>
      <c r="P320" s="8">
        <f t="shared" si="1"/>
        <v>81.84</v>
      </c>
    </row>
    <row r="321" spans="1:16" ht="15">
      <c r="A321" s="6" t="s">
        <v>17</v>
      </c>
      <c r="B321" s="6" t="s">
        <v>18</v>
      </c>
      <c r="C321" s="6" t="s">
        <v>654</v>
      </c>
      <c r="D321" s="6" t="s">
        <v>655</v>
      </c>
      <c r="E321" s="7">
        <v>46</v>
      </c>
      <c r="F321" s="7">
        <v>48</v>
      </c>
      <c r="G321" s="7">
        <v>49.5</v>
      </c>
      <c r="H321" s="7">
        <v>46.1</v>
      </c>
      <c r="I321" s="7">
        <v>46.1</v>
      </c>
      <c r="J321" s="7">
        <v>286850</v>
      </c>
      <c r="K321" s="7">
        <v>6000</v>
      </c>
      <c r="L321" s="7">
        <v>92.8</v>
      </c>
      <c r="M321" s="7">
        <v>39</v>
      </c>
      <c r="N321" s="7">
        <v>47.14</v>
      </c>
      <c r="O321" s="10">
        <v>2.2000000000000001E-3</v>
      </c>
      <c r="P321" s="8">
        <f t="shared" si="1"/>
        <v>47.14</v>
      </c>
    </row>
    <row r="322" spans="1:16" ht="15">
      <c r="A322" s="6" t="s">
        <v>17</v>
      </c>
      <c r="B322" s="6" t="s">
        <v>18</v>
      </c>
      <c r="C322" s="6" t="s">
        <v>963</v>
      </c>
      <c r="D322" s="6" t="s">
        <v>964</v>
      </c>
      <c r="E322" s="7">
        <v>142.80000000000001</v>
      </c>
      <c r="F322" s="7">
        <v>142.80000000000001</v>
      </c>
      <c r="G322" s="7">
        <v>142.80000000000001</v>
      </c>
      <c r="H322" s="7">
        <v>142.80000000000001</v>
      </c>
      <c r="I322" s="7">
        <v>142.80000000000001</v>
      </c>
      <c r="J322" s="7">
        <v>285600</v>
      </c>
      <c r="K322" s="7">
        <v>2000</v>
      </c>
      <c r="L322" s="7">
        <v>187.2</v>
      </c>
      <c r="M322" s="7">
        <v>125.4</v>
      </c>
      <c r="N322" s="7">
        <v>142.80000000000001</v>
      </c>
      <c r="O322" s="10">
        <v>0</v>
      </c>
      <c r="P322" s="8">
        <f t="shared" si="1"/>
        <v>142.80000000000001</v>
      </c>
    </row>
    <row r="323" spans="1:16" ht="15">
      <c r="A323" s="6" t="s">
        <v>17</v>
      </c>
      <c r="B323" s="6" t="s">
        <v>18</v>
      </c>
      <c r="C323" s="6" t="s">
        <v>965</v>
      </c>
      <c r="D323" s="6" t="s">
        <v>966</v>
      </c>
      <c r="E323" s="7">
        <v>154.30000000000001</v>
      </c>
      <c r="F323" s="7">
        <v>155.85</v>
      </c>
      <c r="G323" s="7">
        <v>160</v>
      </c>
      <c r="H323" s="7">
        <v>155.85</v>
      </c>
      <c r="I323" s="7">
        <v>160</v>
      </c>
      <c r="J323" s="7">
        <v>285510</v>
      </c>
      <c r="K323" s="7">
        <v>1800</v>
      </c>
      <c r="L323" s="7">
        <v>260</v>
      </c>
      <c r="M323" s="7">
        <v>100.25</v>
      </c>
      <c r="N323" s="7">
        <v>157.19999999999999</v>
      </c>
      <c r="O323" s="10">
        <v>3.6900000000000002E-2</v>
      </c>
      <c r="P323" s="8">
        <f t="shared" si="1"/>
        <v>157.19999999999999</v>
      </c>
    </row>
    <row r="324" spans="1:16" ht="15">
      <c r="A324" s="6" t="s">
        <v>17</v>
      </c>
      <c r="B324" s="6" t="s">
        <v>18</v>
      </c>
      <c r="C324" s="6" t="s">
        <v>541</v>
      </c>
      <c r="D324" s="6" t="s">
        <v>542</v>
      </c>
      <c r="E324" s="7">
        <v>34.75</v>
      </c>
      <c r="F324" s="7">
        <v>34.700000000000003</v>
      </c>
      <c r="G324" s="7">
        <v>35</v>
      </c>
      <c r="H324" s="7">
        <v>34.700000000000003</v>
      </c>
      <c r="I324" s="7">
        <v>35</v>
      </c>
      <c r="J324" s="7">
        <v>279400</v>
      </c>
      <c r="K324" s="7">
        <v>8000</v>
      </c>
      <c r="L324" s="7">
        <v>74.45</v>
      </c>
      <c r="M324" s="7">
        <v>28.1</v>
      </c>
      <c r="N324" s="7">
        <v>34.83</v>
      </c>
      <c r="O324" s="10">
        <v>7.1999999999999998E-3</v>
      </c>
      <c r="P324" s="8">
        <f t="shared" si="1"/>
        <v>34.83</v>
      </c>
    </row>
    <row r="325" spans="1:16" ht="15">
      <c r="A325" s="6" t="s">
        <v>17</v>
      </c>
      <c r="B325" s="6" t="s">
        <v>18</v>
      </c>
      <c r="C325" s="6" t="s">
        <v>200</v>
      </c>
      <c r="D325" s="6" t="s">
        <v>201</v>
      </c>
      <c r="E325" s="7">
        <v>38.549999999999997</v>
      </c>
      <c r="F325" s="7">
        <v>39</v>
      </c>
      <c r="G325" s="7">
        <v>40.049999999999997</v>
      </c>
      <c r="H325" s="7">
        <v>39</v>
      </c>
      <c r="I325" s="7">
        <v>40</v>
      </c>
      <c r="J325" s="7">
        <v>276550</v>
      </c>
      <c r="K325" s="7">
        <v>7000</v>
      </c>
      <c r="L325" s="7">
        <v>129.9</v>
      </c>
      <c r="M325" s="7">
        <v>37.15</v>
      </c>
      <c r="N325" s="7">
        <v>39.32</v>
      </c>
      <c r="O325" s="10">
        <v>3.7600000000000001E-2</v>
      </c>
      <c r="P325" s="8">
        <f t="shared" si="1"/>
        <v>39.32</v>
      </c>
    </row>
    <row r="326" spans="1:16" ht="15">
      <c r="A326" s="6" t="s">
        <v>17</v>
      </c>
      <c r="B326" s="6" t="s">
        <v>18</v>
      </c>
      <c r="C326" s="6" t="s">
        <v>624</v>
      </c>
      <c r="D326" s="6" t="s">
        <v>625</v>
      </c>
      <c r="E326" s="7">
        <v>66</v>
      </c>
      <c r="F326" s="7">
        <v>70</v>
      </c>
      <c r="G326" s="7">
        <v>70</v>
      </c>
      <c r="H326" s="7">
        <v>67</v>
      </c>
      <c r="I326" s="7">
        <v>67</v>
      </c>
      <c r="J326" s="7">
        <v>275000</v>
      </c>
      <c r="K326" s="7">
        <v>4000</v>
      </c>
      <c r="L326" s="7">
        <v>162</v>
      </c>
      <c r="M326" s="7">
        <v>65.5</v>
      </c>
      <c r="N326" s="7">
        <v>68</v>
      </c>
      <c r="O326" s="10">
        <v>1.52E-2</v>
      </c>
      <c r="P326" s="8">
        <f t="shared" si="1"/>
        <v>68</v>
      </c>
    </row>
    <row r="327" spans="1:16" ht="15">
      <c r="A327" s="6" t="s">
        <v>17</v>
      </c>
      <c r="B327" s="6" t="s">
        <v>18</v>
      </c>
      <c r="C327" s="6" t="s">
        <v>698</v>
      </c>
      <c r="D327" s="6" t="s">
        <v>699</v>
      </c>
      <c r="E327" s="7">
        <v>11</v>
      </c>
      <c r="F327" s="7">
        <v>11</v>
      </c>
      <c r="G327" s="7">
        <v>11.4</v>
      </c>
      <c r="H327" s="7">
        <v>11</v>
      </c>
      <c r="I327" s="7">
        <v>11.4</v>
      </c>
      <c r="J327" s="7">
        <v>265600</v>
      </c>
      <c r="K327" s="7">
        <v>24000</v>
      </c>
      <c r="L327" s="7">
        <v>111.9</v>
      </c>
      <c r="M327" s="7">
        <v>10.45</v>
      </c>
      <c r="N327" s="7">
        <v>11.16</v>
      </c>
      <c r="O327" s="10">
        <v>3.6400000000000002E-2</v>
      </c>
      <c r="P327" s="8">
        <f t="shared" si="1"/>
        <v>11.16</v>
      </c>
    </row>
    <row r="328" spans="1:16" ht="15">
      <c r="A328" s="6" t="s">
        <v>17</v>
      </c>
      <c r="B328" s="6" t="s">
        <v>18</v>
      </c>
      <c r="C328" s="6" t="s">
        <v>529</v>
      </c>
      <c r="D328" s="6" t="s">
        <v>530</v>
      </c>
      <c r="E328" s="7">
        <v>115.9</v>
      </c>
      <c r="F328" s="7">
        <v>110.7</v>
      </c>
      <c r="G328" s="7">
        <v>110.7</v>
      </c>
      <c r="H328" s="7">
        <v>110.1</v>
      </c>
      <c r="I328" s="7">
        <v>110.4</v>
      </c>
      <c r="J328" s="7">
        <v>264960</v>
      </c>
      <c r="K328" s="7">
        <v>2400</v>
      </c>
      <c r="L328" s="7">
        <v>156</v>
      </c>
      <c r="M328" s="7">
        <v>77.150000000000006</v>
      </c>
      <c r="N328" s="7">
        <v>111.56</v>
      </c>
      <c r="O328" s="10">
        <v>-4.7500000000000001E-2</v>
      </c>
      <c r="P328" s="8">
        <f t="shared" si="1"/>
        <v>111.55999999999999</v>
      </c>
    </row>
    <row r="329" spans="1:16" ht="15">
      <c r="A329" s="6" t="s">
        <v>17</v>
      </c>
      <c r="B329" s="6" t="s">
        <v>18</v>
      </c>
      <c r="C329" s="6" t="s">
        <v>375</v>
      </c>
      <c r="D329" s="6" t="s">
        <v>376</v>
      </c>
      <c r="E329" s="7">
        <v>24.1</v>
      </c>
      <c r="F329" s="7">
        <v>25.95</v>
      </c>
      <c r="G329" s="7">
        <v>26.7</v>
      </c>
      <c r="H329" s="7">
        <v>25.95</v>
      </c>
      <c r="I329" s="7">
        <v>26.7</v>
      </c>
      <c r="J329" s="7">
        <v>264600</v>
      </c>
      <c r="K329" s="7">
        <v>10000</v>
      </c>
      <c r="L329" s="7">
        <v>42.3</v>
      </c>
      <c r="M329" s="7">
        <v>24.05</v>
      </c>
      <c r="N329" s="7">
        <v>25.88</v>
      </c>
      <c r="O329" s="10">
        <v>0.1079</v>
      </c>
      <c r="P329" s="8">
        <f t="shared" si="1"/>
        <v>25.880000000000003</v>
      </c>
    </row>
    <row r="330" spans="1:16" ht="15">
      <c r="A330" s="6" t="s">
        <v>17</v>
      </c>
      <c r="B330" s="6" t="s">
        <v>18</v>
      </c>
      <c r="C330" s="6" t="s">
        <v>367</v>
      </c>
      <c r="D330" s="6" t="s">
        <v>368</v>
      </c>
      <c r="E330" s="7">
        <v>279</v>
      </c>
      <c r="F330" s="7">
        <v>260.05</v>
      </c>
      <c r="G330" s="7">
        <v>260.05</v>
      </c>
      <c r="H330" s="7">
        <v>260</v>
      </c>
      <c r="I330" s="7">
        <v>260</v>
      </c>
      <c r="J330" s="7">
        <v>260025</v>
      </c>
      <c r="K330" s="7">
        <v>1000</v>
      </c>
      <c r="L330" s="7">
        <v>398</v>
      </c>
      <c r="M330" s="7">
        <v>240.05</v>
      </c>
      <c r="N330" s="7">
        <v>263.82</v>
      </c>
      <c r="O330" s="10">
        <v>-6.8099999999999994E-2</v>
      </c>
      <c r="P330" s="8">
        <f t="shared" si="1"/>
        <v>263.82</v>
      </c>
    </row>
    <row r="331" spans="1:16" ht="15">
      <c r="A331" s="6" t="s">
        <v>17</v>
      </c>
      <c r="B331" s="6" t="s">
        <v>18</v>
      </c>
      <c r="C331" s="6" t="s">
        <v>596</v>
      </c>
      <c r="D331" s="6" t="s">
        <v>597</v>
      </c>
      <c r="E331" s="7">
        <v>52.5</v>
      </c>
      <c r="F331" s="7">
        <v>51.5</v>
      </c>
      <c r="G331" s="7">
        <v>51.5</v>
      </c>
      <c r="H331" s="7">
        <v>51.5</v>
      </c>
      <c r="I331" s="7">
        <v>51.5</v>
      </c>
      <c r="J331" s="7">
        <v>247200</v>
      </c>
      <c r="K331" s="7">
        <v>4800</v>
      </c>
      <c r="L331" s="7">
        <v>95</v>
      </c>
      <c r="M331" s="7">
        <v>48.1</v>
      </c>
      <c r="N331" s="7">
        <v>51.7</v>
      </c>
      <c r="O331" s="10">
        <v>-1.9E-2</v>
      </c>
      <c r="P331" s="8">
        <f t="shared" si="1"/>
        <v>51.7</v>
      </c>
    </row>
    <row r="332" spans="1:16" ht="15">
      <c r="A332" s="6" t="s">
        <v>17</v>
      </c>
      <c r="B332" s="6" t="s">
        <v>18</v>
      </c>
      <c r="C332" s="6" t="s">
        <v>525</v>
      </c>
      <c r="D332" s="6" t="s">
        <v>526</v>
      </c>
      <c r="E332" s="7">
        <v>25</v>
      </c>
      <c r="F332" s="7">
        <v>25</v>
      </c>
      <c r="G332" s="7">
        <v>26</v>
      </c>
      <c r="H332" s="7">
        <v>25</v>
      </c>
      <c r="I332" s="7">
        <v>26</v>
      </c>
      <c r="J332" s="7">
        <v>245280</v>
      </c>
      <c r="K332" s="7">
        <v>9600</v>
      </c>
      <c r="L332" s="7">
        <v>54</v>
      </c>
      <c r="M332" s="7">
        <v>23.35</v>
      </c>
      <c r="N332" s="7">
        <v>25.4</v>
      </c>
      <c r="O332" s="10">
        <v>0.04</v>
      </c>
      <c r="P332" s="8">
        <f t="shared" si="1"/>
        <v>25.4</v>
      </c>
    </row>
    <row r="333" spans="1:16" ht="15">
      <c r="A333" s="6" t="s">
        <v>17</v>
      </c>
      <c r="B333" s="6" t="s">
        <v>35</v>
      </c>
      <c r="C333" s="6" t="s">
        <v>36</v>
      </c>
      <c r="D333" s="6" t="s">
        <v>37</v>
      </c>
      <c r="E333" s="7">
        <v>67.400000000000006</v>
      </c>
      <c r="F333" s="7">
        <v>67.45</v>
      </c>
      <c r="G333" s="7">
        <v>67.45</v>
      </c>
      <c r="H333" s="7">
        <v>67.400000000000006</v>
      </c>
      <c r="I333" s="7">
        <v>67.400000000000006</v>
      </c>
      <c r="J333" s="7">
        <v>242760</v>
      </c>
      <c r="K333" s="7">
        <v>3600</v>
      </c>
      <c r="L333" s="7">
        <v>102.5</v>
      </c>
      <c r="M333" s="7">
        <v>53.8</v>
      </c>
      <c r="N333" s="7">
        <v>67.42</v>
      </c>
      <c r="O333" s="10">
        <v>0</v>
      </c>
      <c r="P333" s="8">
        <f t="shared" si="1"/>
        <v>67.42</v>
      </c>
    </row>
    <row r="334" spans="1:16" ht="15">
      <c r="A334" s="6" t="s">
        <v>17</v>
      </c>
      <c r="B334" s="6" t="s">
        <v>18</v>
      </c>
      <c r="C334" s="6" t="s">
        <v>50</v>
      </c>
      <c r="D334" s="6" t="s">
        <v>51</v>
      </c>
      <c r="E334" s="7">
        <v>20</v>
      </c>
      <c r="F334" s="7">
        <v>18.850000000000001</v>
      </c>
      <c r="G334" s="7">
        <v>19.45</v>
      </c>
      <c r="H334" s="7">
        <v>18.850000000000001</v>
      </c>
      <c r="I334" s="7">
        <v>19.45</v>
      </c>
      <c r="J334" s="7">
        <v>239875</v>
      </c>
      <c r="K334" s="7">
        <v>12500</v>
      </c>
      <c r="L334" s="7">
        <v>43.35</v>
      </c>
      <c r="M334" s="7">
        <v>17.899999999999999</v>
      </c>
      <c r="N334" s="7">
        <v>19.32</v>
      </c>
      <c r="O334" s="10">
        <v>-2.75E-2</v>
      </c>
      <c r="P334" s="8">
        <f t="shared" si="1"/>
        <v>19.32</v>
      </c>
    </row>
    <row r="335" spans="1:16" ht="15">
      <c r="A335" s="6" t="s">
        <v>17</v>
      </c>
      <c r="B335" s="6" t="s">
        <v>18</v>
      </c>
      <c r="C335" s="6" t="s">
        <v>967</v>
      </c>
      <c r="D335" s="6" t="s">
        <v>968</v>
      </c>
      <c r="E335" s="7">
        <v>104</v>
      </c>
      <c r="F335" s="7">
        <v>98.8</v>
      </c>
      <c r="G335" s="7">
        <v>101</v>
      </c>
      <c r="H335" s="7">
        <v>98.8</v>
      </c>
      <c r="I335" s="7">
        <v>98.8</v>
      </c>
      <c r="J335" s="7">
        <v>238880</v>
      </c>
      <c r="K335" s="7">
        <v>2400</v>
      </c>
      <c r="L335" s="7">
        <v>148</v>
      </c>
      <c r="M335" s="7">
        <v>84.55</v>
      </c>
      <c r="N335" s="7">
        <v>100.28</v>
      </c>
      <c r="O335" s="10">
        <v>-0.05</v>
      </c>
      <c r="P335" s="8">
        <f t="shared" si="1"/>
        <v>100.28</v>
      </c>
    </row>
    <row r="336" spans="1:16" ht="15">
      <c r="A336" s="6" t="s">
        <v>17</v>
      </c>
      <c r="B336" s="6" t="s">
        <v>18</v>
      </c>
      <c r="C336" s="6" t="s">
        <v>620</v>
      </c>
      <c r="D336" s="6" t="s">
        <v>621</v>
      </c>
      <c r="E336" s="7">
        <v>23.85</v>
      </c>
      <c r="F336" s="7">
        <v>24</v>
      </c>
      <c r="G336" s="7">
        <v>24</v>
      </c>
      <c r="H336" s="7">
        <v>23</v>
      </c>
      <c r="I336" s="7">
        <v>23.5</v>
      </c>
      <c r="J336" s="7">
        <v>238000</v>
      </c>
      <c r="K336" s="7">
        <v>10000</v>
      </c>
      <c r="L336" s="7">
        <v>62.9</v>
      </c>
      <c r="M336" s="7">
        <v>23</v>
      </c>
      <c r="N336" s="7">
        <v>23.67</v>
      </c>
      <c r="O336" s="10">
        <v>-1.47E-2</v>
      </c>
      <c r="P336" s="8">
        <f t="shared" si="1"/>
        <v>23.669999999999998</v>
      </c>
    </row>
    <row r="337" spans="1:16" ht="15">
      <c r="A337" s="6" t="s">
        <v>17</v>
      </c>
      <c r="B337" s="6" t="s">
        <v>18</v>
      </c>
      <c r="C337" s="6" t="s">
        <v>437</v>
      </c>
      <c r="D337" s="6" t="s">
        <v>438</v>
      </c>
      <c r="E337" s="7">
        <v>58.55</v>
      </c>
      <c r="F337" s="7">
        <v>60</v>
      </c>
      <c r="G337" s="7">
        <v>60</v>
      </c>
      <c r="H337" s="7">
        <v>58</v>
      </c>
      <c r="I337" s="7">
        <v>58</v>
      </c>
      <c r="J337" s="7">
        <v>235500</v>
      </c>
      <c r="K337" s="7">
        <v>4000</v>
      </c>
      <c r="L337" s="7">
        <v>125.75</v>
      </c>
      <c r="M337" s="7">
        <v>58</v>
      </c>
      <c r="N337" s="7">
        <v>58.91</v>
      </c>
      <c r="O337" s="10">
        <v>-9.4000000000000004E-3</v>
      </c>
      <c r="P337" s="8">
        <f t="shared" si="1"/>
        <v>58.910000000000004</v>
      </c>
    </row>
    <row r="338" spans="1:16" ht="15">
      <c r="A338" s="6" t="s">
        <v>17</v>
      </c>
      <c r="B338" s="6" t="s">
        <v>18</v>
      </c>
      <c r="C338" s="6" t="s">
        <v>840</v>
      </c>
      <c r="D338" s="6" t="s">
        <v>841</v>
      </c>
      <c r="E338" s="7">
        <v>300</v>
      </c>
      <c r="F338" s="7">
        <v>291</v>
      </c>
      <c r="G338" s="7">
        <v>291</v>
      </c>
      <c r="H338" s="7">
        <v>291</v>
      </c>
      <c r="I338" s="7">
        <v>291</v>
      </c>
      <c r="J338" s="7">
        <v>232800</v>
      </c>
      <c r="K338" s="7">
        <v>800</v>
      </c>
      <c r="L338" s="7">
        <v>363.6</v>
      </c>
      <c r="M338" s="7">
        <v>141.05000000000001</v>
      </c>
      <c r="N338" s="7">
        <v>292.8</v>
      </c>
      <c r="O338" s="10">
        <v>-0.03</v>
      </c>
      <c r="P338" s="8">
        <f t="shared" si="1"/>
        <v>292.8</v>
      </c>
    </row>
    <row r="339" spans="1:16" ht="15">
      <c r="A339" s="6" t="s">
        <v>17</v>
      </c>
      <c r="B339" s="6" t="s">
        <v>35</v>
      </c>
      <c r="C339" s="6" t="s">
        <v>403</v>
      </c>
      <c r="D339" s="6" t="s">
        <v>404</v>
      </c>
      <c r="E339" s="7">
        <v>117</v>
      </c>
      <c r="F339" s="7">
        <v>112.25</v>
      </c>
      <c r="G339" s="7">
        <v>119.95</v>
      </c>
      <c r="H339" s="7">
        <v>112.25</v>
      </c>
      <c r="I339" s="7">
        <v>119.95</v>
      </c>
      <c r="J339" s="7">
        <v>232200</v>
      </c>
      <c r="K339" s="7">
        <v>2000</v>
      </c>
      <c r="L339" s="7">
        <v>973</v>
      </c>
      <c r="M339" s="7">
        <v>112.25</v>
      </c>
      <c r="N339" s="7">
        <v>116.28</v>
      </c>
      <c r="O339" s="10">
        <v>2.52E-2</v>
      </c>
      <c r="P339" s="8">
        <f t="shared" si="1"/>
        <v>116.28</v>
      </c>
    </row>
    <row r="340" spans="1:16" ht="15">
      <c r="A340" s="6" t="s">
        <v>17</v>
      </c>
      <c r="B340" s="6" t="s">
        <v>18</v>
      </c>
      <c r="C340" s="6" t="s">
        <v>361</v>
      </c>
      <c r="D340" s="6" t="s">
        <v>362</v>
      </c>
      <c r="E340" s="7">
        <v>78</v>
      </c>
      <c r="F340" s="7">
        <v>78</v>
      </c>
      <c r="G340" s="7">
        <v>78</v>
      </c>
      <c r="H340" s="7">
        <v>76</v>
      </c>
      <c r="I340" s="7">
        <v>78</v>
      </c>
      <c r="J340" s="7">
        <v>231600</v>
      </c>
      <c r="K340" s="7">
        <v>3000</v>
      </c>
      <c r="L340" s="7">
        <v>216</v>
      </c>
      <c r="M340" s="7">
        <v>75.099999999999994</v>
      </c>
      <c r="N340" s="7">
        <v>77.599999999999994</v>
      </c>
      <c r="O340" s="10">
        <v>0</v>
      </c>
      <c r="P340" s="8">
        <f t="shared" si="1"/>
        <v>77.599999999999994</v>
      </c>
    </row>
    <row r="341" spans="1:16" ht="15">
      <c r="A341" s="6" t="s">
        <v>17</v>
      </c>
      <c r="B341" s="6" t="s">
        <v>18</v>
      </c>
      <c r="C341" s="6" t="s">
        <v>196</v>
      </c>
      <c r="D341" s="6" t="s">
        <v>197</v>
      </c>
      <c r="E341" s="7">
        <v>45.35</v>
      </c>
      <c r="F341" s="7">
        <v>45.75</v>
      </c>
      <c r="G341" s="7">
        <v>47.4</v>
      </c>
      <c r="H341" s="7">
        <v>45</v>
      </c>
      <c r="I341" s="7">
        <v>45</v>
      </c>
      <c r="J341" s="7">
        <v>228900</v>
      </c>
      <c r="K341" s="7">
        <v>5000</v>
      </c>
      <c r="L341" s="7">
        <v>76.45</v>
      </c>
      <c r="M341" s="7">
        <v>38.35</v>
      </c>
      <c r="N341" s="7">
        <v>45.7</v>
      </c>
      <c r="O341" s="10">
        <v>-7.7000000000000002E-3</v>
      </c>
      <c r="P341" s="8">
        <f t="shared" si="1"/>
        <v>45.7</v>
      </c>
    </row>
    <row r="342" spans="1:16" ht="15">
      <c r="A342" s="6" t="s">
        <v>17</v>
      </c>
      <c r="B342" s="6" t="s">
        <v>18</v>
      </c>
      <c r="C342" s="6" t="s">
        <v>345</v>
      </c>
      <c r="D342" s="6" t="s">
        <v>346</v>
      </c>
      <c r="E342" s="7">
        <v>31.2</v>
      </c>
      <c r="F342" s="7">
        <v>29.7</v>
      </c>
      <c r="G342" s="7">
        <v>31</v>
      </c>
      <c r="H342" s="7">
        <v>29.7</v>
      </c>
      <c r="I342" s="7">
        <v>30</v>
      </c>
      <c r="J342" s="7">
        <v>226800</v>
      </c>
      <c r="K342" s="7">
        <v>7500</v>
      </c>
      <c r="L342" s="7">
        <v>87.15</v>
      </c>
      <c r="M342" s="7">
        <v>25.3</v>
      </c>
      <c r="N342" s="7">
        <v>30.32</v>
      </c>
      <c r="O342" s="10">
        <v>-3.85E-2</v>
      </c>
      <c r="P342" s="8">
        <f t="shared" si="1"/>
        <v>30.320000000000004</v>
      </c>
    </row>
    <row r="343" spans="1:16" ht="15">
      <c r="A343" s="6" t="s">
        <v>17</v>
      </c>
      <c r="B343" s="6" t="s">
        <v>18</v>
      </c>
      <c r="C343" s="6" t="s">
        <v>969</v>
      </c>
      <c r="D343" s="6" t="s">
        <v>970</v>
      </c>
      <c r="E343" s="7">
        <v>26</v>
      </c>
      <c r="F343" s="7">
        <v>27.3</v>
      </c>
      <c r="G343" s="7">
        <v>27.3</v>
      </c>
      <c r="H343" s="7">
        <v>27.25</v>
      </c>
      <c r="I343" s="7">
        <v>27.3</v>
      </c>
      <c r="J343" s="7">
        <v>218360</v>
      </c>
      <c r="K343" s="7">
        <v>8000</v>
      </c>
      <c r="L343" s="7">
        <v>58.1</v>
      </c>
      <c r="M343" s="7">
        <v>24.65</v>
      </c>
      <c r="N343" s="7">
        <v>27.03</v>
      </c>
      <c r="O343" s="10">
        <v>0.05</v>
      </c>
      <c r="P343" s="8">
        <f t="shared" si="1"/>
        <v>27.03</v>
      </c>
    </row>
    <row r="344" spans="1:16" ht="15">
      <c r="A344" s="6" t="s">
        <v>17</v>
      </c>
      <c r="B344" s="6" t="s">
        <v>18</v>
      </c>
      <c r="C344" s="6" t="s">
        <v>971</v>
      </c>
      <c r="D344" s="6" t="s">
        <v>972</v>
      </c>
      <c r="E344" s="7">
        <v>181.5</v>
      </c>
      <c r="F344" s="7">
        <v>180</v>
      </c>
      <c r="G344" s="7">
        <v>180</v>
      </c>
      <c r="H344" s="7">
        <v>180</v>
      </c>
      <c r="I344" s="7">
        <v>180</v>
      </c>
      <c r="J344" s="7">
        <v>216000</v>
      </c>
      <c r="K344" s="7">
        <v>1200</v>
      </c>
      <c r="L344" s="7">
        <v>229</v>
      </c>
      <c r="M344" s="7">
        <v>171</v>
      </c>
      <c r="N344" s="7">
        <v>180.3</v>
      </c>
      <c r="O344" s="10">
        <v>-8.3000000000000001E-3</v>
      </c>
      <c r="P344" s="8">
        <f t="shared" si="1"/>
        <v>180.3</v>
      </c>
    </row>
    <row r="345" spans="1:16" ht="15">
      <c r="A345" s="6" t="s">
        <v>17</v>
      </c>
      <c r="B345" s="6" t="s">
        <v>18</v>
      </c>
      <c r="C345" s="6" t="s">
        <v>882</v>
      </c>
      <c r="D345" s="6" t="s">
        <v>883</v>
      </c>
      <c r="E345" s="7">
        <v>27</v>
      </c>
      <c r="F345" s="7">
        <v>28.7</v>
      </c>
      <c r="G345" s="7">
        <v>30.55</v>
      </c>
      <c r="H345" s="7">
        <v>27.1</v>
      </c>
      <c r="I345" s="7">
        <v>27.5</v>
      </c>
      <c r="J345" s="7">
        <v>213300</v>
      </c>
      <c r="K345" s="7">
        <v>7500</v>
      </c>
      <c r="L345" s="7">
        <v>63.45</v>
      </c>
      <c r="M345" s="7">
        <v>22.15</v>
      </c>
      <c r="N345" s="7">
        <v>28.17</v>
      </c>
      <c r="O345" s="10">
        <v>1.8499999999999999E-2</v>
      </c>
      <c r="P345" s="8">
        <f t="shared" si="1"/>
        <v>28.169999999999998</v>
      </c>
    </row>
    <row r="346" spans="1:16" ht="15">
      <c r="A346" s="6" t="s">
        <v>17</v>
      </c>
      <c r="B346" s="6" t="s">
        <v>18</v>
      </c>
      <c r="C346" s="6" t="s">
        <v>973</v>
      </c>
      <c r="D346" s="6" t="s">
        <v>974</v>
      </c>
      <c r="E346" s="7">
        <v>89</v>
      </c>
      <c r="F346" s="7">
        <v>93</v>
      </c>
      <c r="G346" s="7">
        <v>93.45</v>
      </c>
      <c r="H346" s="7">
        <v>93</v>
      </c>
      <c r="I346" s="7">
        <v>93.45</v>
      </c>
      <c r="J346" s="7">
        <v>209925</v>
      </c>
      <c r="K346" s="7">
        <v>2250</v>
      </c>
      <c r="L346" s="7">
        <v>181.65</v>
      </c>
      <c r="M346" s="7">
        <v>86.15</v>
      </c>
      <c r="N346" s="7">
        <v>92.38</v>
      </c>
      <c r="O346" s="10">
        <v>0.05</v>
      </c>
      <c r="P346" s="8">
        <f t="shared" si="1"/>
        <v>92.38</v>
      </c>
    </row>
    <row r="347" spans="1:16" ht="15">
      <c r="A347" s="6" t="s">
        <v>17</v>
      </c>
      <c r="B347" s="6" t="s">
        <v>18</v>
      </c>
      <c r="C347" s="6" t="s">
        <v>481</v>
      </c>
      <c r="D347" s="6" t="s">
        <v>482</v>
      </c>
      <c r="E347" s="7">
        <v>25.4</v>
      </c>
      <c r="F347" s="7">
        <v>25.5</v>
      </c>
      <c r="G347" s="7">
        <v>26.65</v>
      </c>
      <c r="H347" s="7">
        <v>25.45</v>
      </c>
      <c r="I347" s="7">
        <v>26.65</v>
      </c>
      <c r="J347" s="7">
        <v>206200</v>
      </c>
      <c r="K347" s="7">
        <v>8000</v>
      </c>
      <c r="L347" s="7">
        <v>49.7</v>
      </c>
      <c r="M347" s="7">
        <v>19.600000000000001</v>
      </c>
      <c r="N347" s="7">
        <v>25.93</v>
      </c>
      <c r="O347" s="10">
        <v>4.9200000000000001E-2</v>
      </c>
      <c r="P347" s="8">
        <f t="shared" si="1"/>
        <v>25.93</v>
      </c>
    </row>
    <row r="348" spans="1:16" ht="15">
      <c r="A348" s="6" t="s">
        <v>17</v>
      </c>
      <c r="B348" s="6" t="s">
        <v>18</v>
      </c>
      <c r="C348" s="6" t="s">
        <v>750</v>
      </c>
      <c r="D348" s="6" t="s">
        <v>751</v>
      </c>
      <c r="E348" s="7">
        <v>54</v>
      </c>
      <c r="F348" s="7">
        <v>51.35</v>
      </c>
      <c r="G348" s="7">
        <v>51.4</v>
      </c>
      <c r="H348" s="7">
        <v>51.35</v>
      </c>
      <c r="I348" s="7">
        <v>51.35</v>
      </c>
      <c r="J348" s="7">
        <v>205500</v>
      </c>
      <c r="K348" s="7">
        <v>4000</v>
      </c>
      <c r="L348" s="7">
        <v>95.5</v>
      </c>
      <c r="M348" s="7">
        <v>51.35</v>
      </c>
      <c r="N348" s="7">
        <v>51.89</v>
      </c>
      <c r="O348" s="10">
        <v>-4.9099999999999998E-2</v>
      </c>
      <c r="P348" s="8">
        <f t="shared" si="1"/>
        <v>51.89</v>
      </c>
    </row>
    <row r="349" spans="1:16" ht="15">
      <c r="A349" s="6" t="s">
        <v>17</v>
      </c>
      <c r="B349" s="6" t="s">
        <v>18</v>
      </c>
      <c r="C349" s="6" t="s">
        <v>584</v>
      </c>
      <c r="D349" s="6" t="s">
        <v>585</v>
      </c>
      <c r="E349" s="7">
        <v>19.5</v>
      </c>
      <c r="F349" s="7">
        <v>19</v>
      </c>
      <c r="G349" s="7">
        <v>21.1</v>
      </c>
      <c r="H349" s="7">
        <v>19</v>
      </c>
      <c r="I349" s="7">
        <v>20.65</v>
      </c>
      <c r="J349" s="7">
        <v>204400</v>
      </c>
      <c r="K349" s="7">
        <v>10000</v>
      </c>
      <c r="L349" s="7">
        <v>29.1</v>
      </c>
      <c r="M349" s="7">
        <v>16.75</v>
      </c>
      <c r="N349" s="7">
        <v>19.850000000000001</v>
      </c>
      <c r="O349" s="10">
        <v>5.8999999999999997E-2</v>
      </c>
      <c r="P349" s="8">
        <f t="shared" si="1"/>
        <v>19.850000000000001</v>
      </c>
    </row>
    <row r="350" spans="1:16" ht="15">
      <c r="A350" s="6" t="s">
        <v>17</v>
      </c>
      <c r="B350" s="6" t="s">
        <v>18</v>
      </c>
      <c r="C350" s="6" t="s">
        <v>820</v>
      </c>
      <c r="D350" s="6" t="s">
        <v>821</v>
      </c>
      <c r="E350" s="7">
        <v>50</v>
      </c>
      <c r="F350" s="7">
        <v>50</v>
      </c>
      <c r="G350" s="7">
        <v>50.1</v>
      </c>
      <c r="H350" s="7">
        <v>50</v>
      </c>
      <c r="I350" s="7">
        <v>50.1</v>
      </c>
      <c r="J350" s="7">
        <v>200200</v>
      </c>
      <c r="K350" s="7">
        <v>4000</v>
      </c>
      <c r="L350" s="7">
        <v>95</v>
      </c>
      <c r="M350" s="7">
        <v>50</v>
      </c>
      <c r="N350" s="7">
        <v>50.04</v>
      </c>
      <c r="O350" s="10">
        <v>2E-3</v>
      </c>
      <c r="P350" s="8">
        <f t="shared" si="1"/>
        <v>50.04</v>
      </c>
    </row>
    <row r="351" spans="1:16" ht="15">
      <c r="A351" s="6" t="s">
        <v>17</v>
      </c>
      <c r="B351" s="6" t="s">
        <v>18</v>
      </c>
      <c r="C351" s="6" t="s">
        <v>509</v>
      </c>
      <c r="D351" s="6" t="s">
        <v>510</v>
      </c>
      <c r="E351" s="7">
        <v>60.9</v>
      </c>
      <c r="F351" s="7">
        <v>60.9</v>
      </c>
      <c r="G351" s="7">
        <v>60.9</v>
      </c>
      <c r="H351" s="7">
        <v>60.9</v>
      </c>
      <c r="I351" s="7">
        <v>60.9</v>
      </c>
      <c r="J351" s="7">
        <v>194880</v>
      </c>
      <c r="K351" s="7">
        <v>3200</v>
      </c>
      <c r="L351" s="7">
        <v>119.95</v>
      </c>
      <c r="M351" s="7">
        <v>55.75</v>
      </c>
      <c r="N351" s="7">
        <v>60.9</v>
      </c>
      <c r="O351" s="10">
        <v>0</v>
      </c>
      <c r="P351" s="8">
        <f t="shared" si="1"/>
        <v>60.9</v>
      </c>
    </row>
    <row r="352" spans="1:16" ht="15">
      <c r="A352" s="6" t="s">
        <v>17</v>
      </c>
      <c r="B352" s="6" t="s">
        <v>35</v>
      </c>
      <c r="C352" s="6" t="s">
        <v>782</v>
      </c>
      <c r="D352" s="6" t="s">
        <v>783</v>
      </c>
      <c r="E352" s="7">
        <v>128.19999999999999</v>
      </c>
      <c r="F352" s="7">
        <v>121.8</v>
      </c>
      <c r="G352" s="7">
        <v>121.8</v>
      </c>
      <c r="H352" s="7">
        <v>121.8</v>
      </c>
      <c r="I352" s="7">
        <v>121.8</v>
      </c>
      <c r="J352" s="7">
        <v>194880</v>
      </c>
      <c r="K352" s="7">
        <v>1600</v>
      </c>
      <c r="L352" s="7">
        <v>199.4</v>
      </c>
      <c r="M352" s="7">
        <v>104.55</v>
      </c>
      <c r="N352" s="7">
        <v>123.08</v>
      </c>
      <c r="O352" s="10">
        <v>-4.99E-2</v>
      </c>
      <c r="P352" s="8">
        <f t="shared" si="1"/>
        <v>123.08</v>
      </c>
    </row>
    <row r="353" spans="1:16" ht="15">
      <c r="A353" s="6" t="s">
        <v>17</v>
      </c>
      <c r="B353" s="6" t="s">
        <v>18</v>
      </c>
      <c r="C353" s="6" t="s">
        <v>844</v>
      </c>
      <c r="D353" s="6" t="s">
        <v>845</v>
      </c>
      <c r="E353" s="7">
        <v>22.65</v>
      </c>
      <c r="F353" s="7">
        <v>21.55</v>
      </c>
      <c r="G353" s="7">
        <v>21.55</v>
      </c>
      <c r="H353" s="7">
        <v>21.55</v>
      </c>
      <c r="I353" s="7">
        <v>21.55</v>
      </c>
      <c r="J353" s="7">
        <v>193950</v>
      </c>
      <c r="K353" s="7">
        <v>9000</v>
      </c>
      <c r="L353" s="7">
        <v>43.5</v>
      </c>
      <c r="M353" s="7">
        <v>21.55</v>
      </c>
      <c r="N353" s="7">
        <v>21.77</v>
      </c>
      <c r="O353" s="10">
        <v>-4.8599999999999997E-2</v>
      </c>
      <c r="P353" s="8">
        <f t="shared" si="1"/>
        <v>21.77</v>
      </c>
    </row>
    <row r="354" spans="1:16" ht="15">
      <c r="A354" s="6" t="s">
        <v>17</v>
      </c>
      <c r="B354" s="6" t="s">
        <v>35</v>
      </c>
      <c r="C354" s="6" t="s">
        <v>975</v>
      </c>
      <c r="D354" s="6" t="s">
        <v>976</v>
      </c>
      <c r="E354" s="7">
        <v>20.350000000000001</v>
      </c>
      <c r="F354" s="7">
        <v>21</v>
      </c>
      <c r="G354" s="7">
        <v>21.35</v>
      </c>
      <c r="H354" s="7">
        <v>21</v>
      </c>
      <c r="I354" s="7">
        <v>21.35</v>
      </c>
      <c r="J354" s="7">
        <v>191100</v>
      </c>
      <c r="K354" s="7">
        <v>9000</v>
      </c>
      <c r="L354" s="7">
        <v>41.7</v>
      </c>
      <c r="M354" s="7">
        <v>16.05</v>
      </c>
      <c r="N354" s="7">
        <v>21.01</v>
      </c>
      <c r="O354" s="10">
        <v>4.9099999999999998E-2</v>
      </c>
      <c r="P354" s="8">
        <f t="shared" si="1"/>
        <v>21.01</v>
      </c>
    </row>
    <row r="355" spans="1:16" ht="15">
      <c r="A355" s="6" t="s">
        <v>17</v>
      </c>
      <c r="B355" s="6" t="s">
        <v>18</v>
      </c>
      <c r="C355" s="6" t="s">
        <v>66</v>
      </c>
      <c r="D355" s="6" t="s">
        <v>67</v>
      </c>
      <c r="E355" s="7">
        <v>95.6</v>
      </c>
      <c r="F355" s="7">
        <v>93.7</v>
      </c>
      <c r="G355" s="7">
        <v>97</v>
      </c>
      <c r="H355" s="7">
        <v>93.7</v>
      </c>
      <c r="I355" s="7">
        <v>97</v>
      </c>
      <c r="J355" s="7">
        <v>190700</v>
      </c>
      <c r="K355" s="7">
        <v>2000</v>
      </c>
      <c r="L355" s="7">
        <v>127.25</v>
      </c>
      <c r="M355" s="7">
        <v>86.4</v>
      </c>
      <c r="N355" s="7">
        <v>95.4</v>
      </c>
      <c r="O355" s="10">
        <v>1.46E-2</v>
      </c>
      <c r="P355" s="8">
        <f t="shared" si="1"/>
        <v>95.4</v>
      </c>
    </row>
    <row r="356" spans="1:16" ht="15">
      <c r="A356" s="6" t="s">
        <v>17</v>
      </c>
      <c r="B356" s="6" t="s">
        <v>18</v>
      </c>
      <c r="C356" s="6" t="s">
        <v>349</v>
      </c>
      <c r="D356" s="6" t="s">
        <v>350</v>
      </c>
      <c r="E356" s="7">
        <v>18.149999999999999</v>
      </c>
      <c r="F356" s="7">
        <v>19</v>
      </c>
      <c r="G356" s="7">
        <v>19</v>
      </c>
      <c r="H356" s="7">
        <v>18.3</v>
      </c>
      <c r="I356" s="7">
        <v>18.3</v>
      </c>
      <c r="J356" s="7">
        <v>188200</v>
      </c>
      <c r="K356" s="7">
        <v>10000</v>
      </c>
      <c r="L356" s="7">
        <v>56.65</v>
      </c>
      <c r="M356" s="7">
        <v>17.05</v>
      </c>
      <c r="N356" s="7">
        <v>18.55</v>
      </c>
      <c r="O356" s="10">
        <v>8.3000000000000001E-3</v>
      </c>
      <c r="P356" s="8">
        <f t="shared" si="1"/>
        <v>18.55</v>
      </c>
    </row>
    <row r="357" spans="1:16" ht="15">
      <c r="A357" s="6" t="s">
        <v>17</v>
      </c>
      <c r="B357" s="6" t="s">
        <v>18</v>
      </c>
      <c r="C357" s="6" t="s">
        <v>555</v>
      </c>
      <c r="D357" s="6" t="s">
        <v>556</v>
      </c>
      <c r="E357" s="7">
        <v>39.200000000000003</v>
      </c>
      <c r="F357" s="7">
        <v>39.200000000000003</v>
      </c>
      <c r="G357" s="7">
        <v>40</v>
      </c>
      <c r="H357" s="7">
        <v>38.5</v>
      </c>
      <c r="I357" s="7">
        <v>38.5</v>
      </c>
      <c r="J357" s="7">
        <v>187440</v>
      </c>
      <c r="K357" s="7">
        <v>4800</v>
      </c>
      <c r="L357" s="7">
        <v>84</v>
      </c>
      <c r="M357" s="7">
        <v>34.1</v>
      </c>
      <c r="N357" s="7">
        <v>39.08</v>
      </c>
      <c r="O357" s="10">
        <v>-1.7899999999999999E-2</v>
      </c>
      <c r="P357" s="8">
        <f t="shared" si="1"/>
        <v>39.08</v>
      </c>
    </row>
    <row r="358" spans="1:16" ht="15">
      <c r="A358" s="6" t="s">
        <v>17</v>
      </c>
      <c r="B358" s="6" t="s">
        <v>18</v>
      </c>
      <c r="C358" s="6" t="s">
        <v>154</v>
      </c>
      <c r="D358" s="6" t="s">
        <v>155</v>
      </c>
      <c r="E358" s="7">
        <v>45</v>
      </c>
      <c r="F358" s="7">
        <v>45</v>
      </c>
      <c r="G358" s="7">
        <v>45.95</v>
      </c>
      <c r="H358" s="7">
        <v>45</v>
      </c>
      <c r="I358" s="7">
        <v>45.9</v>
      </c>
      <c r="J358" s="7">
        <v>181850</v>
      </c>
      <c r="K358" s="7">
        <v>4000</v>
      </c>
      <c r="L358" s="7">
        <v>136.30000000000001</v>
      </c>
      <c r="M358" s="7">
        <v>45</v>
      </c>
      <c r="N358" s="7">
        <v>45.37</v>
      </c>
      <c r="O358" s="10">
        <v>0.02</v>
      </c>
      <c r="P358" s="8">
        <f t="shared" si="1"/>
        <v>45.37</v>
      </c>
    </row>
    <row r="359" spans="1:16" ht="15">
      <c r="A359" s="6" t="s">
        <v>17</v>
      </c>
      <c r="B359" s="6" t="s">
        <v>35</v>
      </c>
      <c r="C359" s="6" t="s">
        <v>146</v>
      </c>
      <c r="D359" s="6" t="s">
        <v>147</v>
      </c>
      <c r="E359" s="7">
        <v>1127</v>
      </c>
      <c r="F359" s="7">
        <v>1182</v>
      </c>
      <c r="G359" s="7">
        <v>1182</v>
      </c>
      <c r="H359" s="7">
        <v>1182</v>
      </c>
      <c r="I359" s="7">
        <v>1182</v>
      </c>
      <c r="J359" s="7">
        <v>177300</v>
      </c>
      <c r="K359" s="7">
        <v>150</v>
      </c>
      <c r="L359" s="7">
        <v>1306.45</v>
      </c>
      <c r="M359" s="7">
        <v>412</v>
      </c>
      <c r="N359" s="7">
        <v>1171</v>
      </c>
      <c r="O359" s="10">
        <v>4.8800000000000003E-2</v>
      </c>
      <c r="P359" s="8">
        <f t="shared" si="1"/>
        <v>1171</v>
      </c>
    </row>
    <row r="360" spans="1:16" ht="15">
      <c r="A360" s="6" t="s">
        <v>17</v>
      </c>
      <c r="B360" s="6" t="s">
        <v>18</v>
      </c>
      <c r="C360" s="6" t="s">
        <v>888</v>
      </c>
      <c r="D360" s="6" t="s">
        <v>889</v>
      </c>
      <c r="E360" s="7">
        <v>92.95</v>
      </c>
      <c r="F360" s="7">
        <v>88.35</v>
      </c>
      <c r="G360" s="7">
        <v>88.5</v>
      </c>
      <c r="H360" s="7">
        <v>88.35</v>
      </c>
      <c r="I360" s="7">
        <v>88.35</v>
      </c>
      <c r="J360" s="7">
        <v>176775</v>
      </c>
      <c r="K360" s="7">
        <v>2000</v>
      </c>
      <c r="L360" s="7">
        <v>318</v>
      </c>
      <c r="M360" s="7">
        <v>88.35</v>
      </c>
      <c r="N360" s="7">
        <v>89.3</v>
      </c>
      <c r="O360" s="10">
        <v>-4.9500000000000002E-2</v>
      </c>
      <c r="P360" s="8">
        <f t="shared" si="1"/>
        <v>89.3</v>
      </c>
    </row>
    <row r="361" spans="1:16" ht="15">
      <c r="A361" s="6" t="s">
        <v>17</v>
      </c>
      <c r="B361" s="6" t="s">
        <v>18</v>
      </c>
      <c r="C361" s="6" t="s">
        <v>938</v>
      </c>
      <c r="D361" s="6" t="s">
        <v>939</v>
      </c>
      <c r="E361" s="7">
        <v>72.650000000000006</v>
      </c>
      <c r="F361" s="7">
        <v>73</v>
      </c>
      <c r="G361" s="7">
        <v>73</v>
      </c>
      <c r="H361" s="7">
        <v>72</v>
      </c>
      <c r="I361" s="7">
        <v>72</v>
      </c>
      <c r="J361" s="7">
        <v>173430</v>
      </c>
      <c r="K361" s="7">
        <v>2400</v>
      </c>
      <c r="L361" s="7">
        <v>165.8</v>
      </c>
      <c r="M361" s="7">
        <v>72</v>
      </c>
      <c r="N361" s="7">
        <v>72.53</v>
      </c>
      <c r="O361" s="10">
        <v>-8.8999999999999999E-3</v>
      </c>
      <c r="P361" s="8">
        <f t="shared" si="1"/>
        <v>72.53</v>
      </c>
    </row>
    <row r="362" spans="1:16" ht="15">
      <c r="A362" s="6" t="s">
        <v>17</v>
      </c>
      <c r="B362" s="6" t="s">
        <v>18</v>
      </c>
      <c r="C362" s="6" t="s">
        <v>21</v>
      </c>
      <c r="D362" s="6" t="s">
        <v>22</v>
      </c>
      <c r="E362" s="7">
        <v>56.95</v>
      </c>
      <c r="F362" s="7">
        <v>54.2</v>
      </c>
      <c r="G362" s="7">
        <v>54.2</v>
      </c>
      <c r="H362" s="7">
        <v>53.35</v>
      </c>
      <c r="I362" s="7">
        <v>53.35</v>
      </c>
      <c r="J362" s="7">
        <v>172080</v>
      </c>
      <c r="K362" s="7">
        <v>3200</v>
      </c>
      <c r="L362" s="7">
        <v>105</v>
      </c>
      <c r="M362" s="7">
        <v>53.35</v>
      </c>
      <c r="N362" s="7">
        <v>54.41</v>
      </c>
      <c r="O362" s="10">
        <v>-6.3200000000000006E-2</v>
      </c>
      <c r="P362" s="8">
        <f t="shared" si="1"/>
        <v>54.410000000000004</v>
      </c>
    </row>
    <row r="363" spans="1:16" ht="15">
      <c r="A363" s="6" t="s">
        <v>17</v>
      </c>
      <c r="B363" s="6" t="s">
        <v>18</v>
      </c>
      <c r="C363" s="6" t="s">
        <v>977</v>
      </c>
      <c r="D363" s="6" t="s">
        <v>978</v>
      </c>
      <c r="E363" s="7">
        <v>285</v>
      </c>
      <c r="F363" s="7">
        <v>275</v>
      </c>
      <c r="G363" s="7">
        <v>275</v>
      </c>
      <c r="H363" s="7">
        <v>275</v>
      </c>
      <c r="I363" s="7">
        <v>275</v>
      </c>
      <c r="J363" s="7">
        <v>171875</v>
      </c>
      <c r="K363" s="7">
        <v>625</v>
      </c>
      <c r="L363" s="7">
        <v>285</v>
      </c>
      <c r="M363" s="7">
        <v>200.05</v>
      </c>
      <c r="N363" s="7">
        <v>277</v>
      </c>
      <c r="O363" s="10">
        <v>-3.5099999999999999E-2</v>
      </c>
      <c r="P363" s="8">
        <f t="shared" si="1"/>
        <v>277</v>
      </c>
    </row>
    <row r="364" spans="1:16" ht="15">
      <c r="A364" s="6" t="s">
        <v>17</v>
      </c>
      <c r="B364" s="6" t="s">
        <v>18</v>
      </c>
      <c r="C364" s="6" t="s">
        <v>459</v>
      </c>
      <c r="D364" s="6" t="s">
        <v>460</v>
      </c>
      <c r="E364" s="7">
        <v>16.5</v>
      </c>
      <c r="F364" s="7">
        <v>17.100000000000001</v>
      </c>
      <c r="G364" s="7">
        <v>18.149999999999999</v>
      </c>
      <c r="H364" s="7">
        <v>16.5</v>
      </c>
      <c r="I364" s="7">
        <v>16.55</v>
      </c>
      <c r="J364" s="7">
        <v>169700</v>
      </c>
      <c r="K364" s="7">
        <v>10000</v>
      </c>
      <c r="L364" s="7">
        <v>41.5</v>
      </c>
      <c r="M364" s="7">
        <v>16.05</v>
      </c>
      <c r="N364" s="7">
        <v>16.96</v>
      </c>
      <c r="O364" s="10">
        <v>3.0000000000000001E-3</v>
      </c>
      <c r="P364" s="8">
        <f t="shared" si="1"/>
        <v>16.96</v>
      </c>
    </row>
    <row r="365" spans="1:16" ht="15">
      <c r="A365" s="6" t="s">
        <v>17</v>
      </c>
      <c r="B365" s="6" t="s">
        <v>18</v>
      </c>
      <c r="C365" s="6" t="s">
        <v>636</v>
      </c>
      <c r="D365" s="6" t="s">
        <v>637</v>
      </c>
      <c r="E365" s="7">
        <v>55.3</v>
      </c>
      <c r="F365" s="7">
        <v>52.85</v>
      </c>
      <c r="G365" s="7">
        <v>53</v>
      </c>
      <c r="H365" s="7">
        <v>52.85</v>
      </c>
      <c r="I365" s="7">
        <v>53</v>
      </c>
      <c r="J365" s="7">
        <v>169360</v>
      </c>
      <c r="K365" s="7">
        <v>3200</v>
      </c>
      <c r="L365" s="7">
        <v>103</v>
      </c>
      <c r="M365" s="7">
        <v>50</v>
      </c>
      <c r="N365" s="7">
        <v>53.4</v>
      </c>
      <c r="O365" s="10">
        <v>-4.1599999999999998E-2</v>
      </c>
      <c r="P365" s="8">
        <f t="shared" si="1"/>
        <v>53.4</v>
      </c>
    </row>
    <row r="366" spans="1:16" ht="15">
      <c r="A366" s="6" t="s">
        <v>17</v>
      </c>
      <c r="B366" s="6" t="s">
        <v>18</v>
      </c>
      <c r="C366" s="6" t="s">
        <v>810</v>
      </c>
      <c r="D366" s="6" t="s">
        <v>811</v>
      </c>
      <c r="E366" s="7">
        <v>27.1</v>
      </c>
      <c r="F366" s="7">
        <v>26.05</v>
      </c>
      <c r="G366" s="7">
        <v>27</v>
      </c>
      <c r="H366" s="7">
        <v>26.05</v>
      </c>
      <c r="I366" s="7">
        <v>26.25</v>
      </c>
      <c r="J366" s="7">
        <v>168960</v>
      </c>
      <c r="K366" s="7">
        <v>6400</v>
      </c>
      <c r="L366" s="7">
        <v>49</v>
      </c>
      <c r="M366" s="7">
        <v>26</v>
      </c>
      <c r="N366" s="7">
        <v>26.49</v>
      </c>
      <c r="O366" s="10">
        <v>-3.1399999999999997E-2</v>
      </c>
      <c r="P366" s="8">
        <f t="shared" si="1"/>
        <v>26.49</v>
      </c>
    </row>
    <row r="367" spans="1:16" ht="15">
      <c r="A367" s="6" t="s">
        <v>17</v>
      </c>
      <c r="B367" s="6" t="s">
        <v>18</v>
      </c>
      <c r="C367" s="6" t="s">
        <v>118</v>
      </c>
      <c r="D367" s="6" t="s">
        <v>119</v>
      </c>
      <c r="E367" s="7">
        <v>28.55</v>
      </c>
      <c r="F367" s="7">
        <v>26</v>
      </c>
      <c r="G367" s="7">
        <v>26.9</v>
      </c>
      <c r="H367" s="7">
        <v>26</v>
      </c>
      <c r="I367" s="7">
        <v>26.9</v>
      </c>
      <c r="J367" s="7">
        <v>168720</v>
      </c>
      <c r="K367" s="7">
        <v>6400</v>
      </c>
      <c r="L367" s="7">
        <v>56.5</v>
      </c>
      <c r="M367" s="7">
        <v>25.6</v>
      </c>
      <c r="N367" s="7">
        <v>26.87</v>
      </c>
      <c r="O367" s="10">
        <v>-5.7799999999999997E-2</v>
      </c>
      <c r="P367" s="8">
        <f t="shared" si="1"/>
        <v>26.869999999999997</v>
      </c>
    </row>
    <row r="368" spans="1:16" ht="15">
      <c r="A368" s="6" t="s">
        <v>17</v>
      </c>
      <c r="B368" s="6" t="s">
        <v>18</v>
      </c>
      <c r="C368" s="6" t="s">
        <v>979</v>
      </c>
      <c r="D368" s="6" t="s">
        <v>980</v>
      </c>
      <c r="E368" s="7">
        <v>11.2</v>
      </c>
      <c r="F368" s="7">
        <v>11.1</v>
      </c>
      <c r="G368" s="7">
        <v>11.15</v>
      </c>
      <c r="H368" s="7">
        <v>11.05</v>
      </c>
      <c r="I368" s="7">
        <v>11.15</v>
      </c>
      <c r="J368" s="7">
        <v>166500</v>
      </c>
      <c r="K368" s="7">
        <v>15000</v>
      </c>
      <c r="L368" s="7">
        <v>18.399999999999999</v>
      </c>
      <c r="M368" s="7">
        <v>10.55</v>
      </c>
      <c r="N368" s="7">
        <v>11.13</v>
      </c>
      <c r="O368" s="10">
        <v>-4.4999999999999997E-3</v>
      </c>
      <c r="P368" s="8">
        <f t="shared" si="1"/>
        <v>11.129999999999999</v>
      </c>
    </row>
    <row r="369" spans="1:16" ht="15">
      <c r="A369" s="6" t="s">
        <v>17</v>
      </c>
      <c r="B369" s="6" t="s">
        <v>18</v>
      </c>
      <c r="C369" s="6" t="s">
        <v>981</v>
      </c>
      <c r="D369" s="6" t="s">
        <v>982</v>
      </c>
      <c r="E369" s="7">
        <v>22.5</v>
      </c>
      <c r="F369" s="7">
        <v>22.6</v>
      </c>
      <c r="G369" s="7">
        <v>23.5</v>
      </c>
      <c r="H369" s="7">
        <v>22.6</v>
      </c>
      <c r="I369" s="7">
        <v>23</v>
      </c>
      <c r="J369" s="7">
        <v>165480</v>
      </c>
      <c r="K369" s="7">
        <v>7200</v>
      </c>
      <c r="L369" s="7">
        <v>65</v>
      </c>
      <c r="M369" s="7">
        <v>20.149999999999999</v>
      </c>
      <c r="N369" s="7">
        <v>22.84</v>
      </c>
      <c r="O369" s="10">
        <v>2.2200000000000001E-2</v>
      </c>
      <c r="P369" s="8">
        <f t="shared" si="1"/>
        <v>22.839999999999996</v>
      </c>
    </row>
    <row r="370" spans="1:16" ht="15">
      <c r="A370" s="6" t="s">
        <v>17</v>
      </c>
      <c r="B370" s="6" t="s">
        <v>18</v>
      </c>
      <c r="C370" s="6" t="s">
        <v>708</v>
      </c>
      <c r="D370" s="6" t="s">
        <v>709</v>
      </c>
      <c r="E370" s="7">
        <v>39</v>
      </c>
      <c r="F370" s="7">
        <v>40.950000000000003</v>
      </c>
      <c r="G370" s="7">
        <v>40.950000000000003</v>
      </c>
      <c r="H370" s="7">
        <v>39.9</v>
      </c>
      <c r="I370" s="7">
        <v>39.9</v>
      </c>
      <c r="J370" s="7">
        <v>162775</v>
      </c>
      <c r="K370" s="7">
        <v>4000</v>
      </c>
      <c r="L370" s="7">
        <v>180</v>
      </c>
      <c r="M370" s="7">
        <v>39</v>
      </c>
      <c r="N370" s="7">
        <v>40.14</v>
      </c>
      <c r="O370" s="10">
        <v>2.3099999999999999E-2</v>
      </c>
      <c r="P370" s="8">
        <f t="shared" si="1"/>
        <v>40.14</v>
      </c>
    </row>
    <row r="371" spans="1:16" ht="15">
      <c r="A371" s="6" t="s">
        <v>17</v>
      </c>
      <c r="B371" s="6" t="s">
        <v>18</v>
      </c>
      <c r="C371" s="6" t="s">
        <v>523</v>
      </c>
      <c r="D371" s="6" t="s">
        <v>524</v>
      </c>
      <c r="E371" s="7">
        <v>15.7</v>
      </c>
      <c r="F371" s="7">
        <v>15.15</v>
      </c>
      <c r="G371" s="7">
        <v>15.95</v>
      </c>
      <c r="H371" s="7">
        <v>15.15</v>
      </c>
      <c r="I371" s="7">
        <v>15.95</v>
      </c>
      <c r="J371" s="7">
        <v>161025</v>
      </c>
      <c r="K371" s="7">
        <v>10500</v>
      </c>
      <c r="L371" s="7">
        <v>85</v>
      </c>
      <c r="M371" s="7">
        <v>15.15</v>
      </c>
      <c r="N371" s="7">
        <v>15.58</v>
      </c>
      <c r="O371" s="10">
        <v>1.5900000000000001E-2</v>
      </c>
      <c r="P371" s="8">
        <f t="shared" si="1"/>
        <v>15.579999999999998</v>
      </c>
    </row>
    <row r="372" spans="1:16" ht="15">
      <c r="A372" s="6" t="s">
        <v>17</v>
      </c>
      <c r="B372" s="6" t="s">
        <v>18</v>
      </c>
      <c r="C372" s="6" t="s">
        <v>180</v>
      </c>
      <c r="D372" s="6" t="s">
        <v>181</v>
      </c>
      <c r="E372" s="7">
        <v>40.5</v>
      </c>
      <c r="F372" s="7">
        <v>40.5</v>
      </c>
      <c r="G372" s="7">
        <v>40.5</v>
      </c>
      <c r="H372" s="7">
        <v>38.65</v>
      </c>
      <c r="I372" s="7">
        <v>40.35</v>
      </c>
      <c r="J372" s="7">
        <v>159500</v>
      </c>
      <c r="K372" s="7">
        <v>4000</v>
      </c>
      <c r="L372" s="7">
        <v>94</v>
      </c>
      <c r="M372" s="7">
        <v>32.6</v>
      </c>
      <c r="N372" s="7">
        <v>40.1</v>
      </c>
      <c r="O372" s="10">
        <v>-3.7000000000000002E-3</v>
      </c>
      <c r="P372" s="8">
        <f t="shared" si="1"/>
        <v>40.1</v>
      </c>
    </row>
    <row r="373" spans="1:16" ht="15">
      <c r="A373" s="6" t="s">
        <v>17</v>
      </c>
      <c r="B373" s="6" t="s">
        <v>18</v>
      </c>
      <c r="C373" s="6" t="s">
        <v>559</v>
      </c>
      <c r="D373" s="6" t="s">
        <v>560</v>
      </c>
      <c r="E373" s="7">
        <v>41</v>
      </c>
      <c r="F373" s="7">
        <v>39.6</v>
      </c>
      <c r="G373" s="7">
        <v>43.95</v>
      </c>
      <c r="H373" s="7">
        <v>39.6</v>
      </c>
      <c r="I373" s="7">
        <v>43.95</v>
      </c>
      <c r="J373" s="7">
        <v>153000</v>
      </c>
      <c r="K373" s="7">
        <v>3600</v>
      </c>
      <c r="L373" s="7">
        <v>90</v>
      </c>
      <c r="M373" s="7">
        <v>39.6</v>
      </c>
      <c r="N373" s="7">
        <v>41.62</v>
      </c>
      <c r="O373" s="10">
        <v>7.1999999999999995E-2</v>
      </c>
      <c r="P373" s="8">
        <f t="shared" si="1"/>
        <v>41.620000000000005</v>
      </c>
    </row>
    <row r="374" spans="1:16" ht="15">
      <c r="A374" s="6" t="s">
        <v>17</v>
      </c>
      <c r="B374" s="6" t="s">
        <v>18</v>
      </c>
      <c r="C374" s="6" t="s">
        <v>399</v>
      </c>
      <c r="D374" s="6" t="s">
        <v>400</v>
      </c>
      <c r="E374" s="7">
        <v>19.600000000000001</v>
      </c>
      <c r="F374" s="7">
        <v>19</v>
      </c>
      <c r="G374" s="7">
        <v>19.149999999999999</v>
      </c>
      <c r="H374" s="7">
        <v>19</v>
      </c>
      <c r="I374" s="7">
        <v>19.149999999999999</v>
      </c>
      <c r="J374" s="7">
        <v>152600</v>
      </c>
      <c r="K374" s="7">
        <v>8000</v>
      </c>
      <c r="L374" s="7">
        <v>55</v>
      </c>
      <c r="M374" s="7">
        <v>18.95</v>
      </c>
      <c r="N374" s="7">
        <v>19.18</v>
      </c>
      <c r="O374" s="10">
        <v>-2.3E-2</v>
      </c>
      <c r="P374" s="8">
        <f t="shared" si="1"/>
        <v>19.18</v>
      </c>
    </row>
    <row r="375" spans="1:16" ht="15">
      <c r="A375" s="6" t="s">
        <v>17</v>
      </c>
      <c r="B375" s="6" t="s">
        <v>18</v>
      </c>
      <c r="C375" s="6" t="s">
        <v>983</v>
      </c>
      <c r="D375" s="6" t="s">
        <v>984</v>
      </c>
      <c r="E375" s="7">
        <v>125.5</v>
      </c>
      <c r="F375" s="7">
        <v>126</v>
      </c>
      <c r="G375" s="7">
        <v>126</v>
      </c>
      <c r="H375" s="7">
        <v>126</v>
      </c>
      <c r="I375" s="7">
        <v>126</v>
      </c>
      <c r="J375" s="7">
        <v>151200</v>
      </c>
      <c r="K375" s="7">
        <v>1200</v>
      </c>
      <c r="L375" s="7">
        <v>178</v>
      </c>
      <c r="M375" s="7">
        <v>105</v>
      </c>
      <c r="N375" s="7">
        <v>125.9</v>
      </c>
      <c r="O375" s="10">
        <v>4.0000000000000001E-3</v>
      </c>
      <c r="P375" s="8">
        <f t="shared" si="1"/>
        <v>125.9</v>
      </c>
    </row>
    <row r="376" spans="1:16" ht="15">
      <c r="A376" s="6" t="s">
        <v>17</v>
      </c>
      <c r="B376" s="6" t="s">
        <v>18</v>
      </c>
      <c r="C376" s="6" t="s">
        <v>660</v>
      </c>
      <c r="D376" s="6" t="s">
        <v>661</v>
      </c>
      <c r="E376" s="7">
        <v>147</v>
      </c>
      <c r="F376" s="7">
        <v>150</v>
      </c>
      <c r="G376" s="7">
        <v>150</v>
      </c>
      <c r="H376" s="7">
        <v>150</v>
      </c>
      <c r="I376" s="7">
        <v>150</v>
      </c>
      <c r="J376" s="7">
        <v>150000</v>
      </c>
      <c r="K376" s="7">
        <v>1000</v>
      </c>
      <c r="L376" s="7">
        <v>171</v>
      </c>
      <c r="M376" s="7">
        <v>57</v>
      </c>
      <c r="N376" s="7">
        <v>149.4</v>
      </c>
      <c r="O376" s="10">
        <v>2.0400000000000001E-2</v>
      </c>
      <c r="P376" s="8">
        <f t="shared" si="1"/>
        <v>149.4</v>
      </c>
    </row>
    <row r="377" spans="1:16" ht="15">
      <c r="A377" s="6" t="s">
        <v>17</v>
      </c>
      <c r="B377" s="6" t="s">
        <v>18</v>
      </c>
      <c r="C377" s="6" t="s">
        <v>251</v>
      </c>
      <c r="D377" s="6" t="s">
        <v>252</v>
      </c>
      <c r="E377" s="7">
        <v>142.55000000000001</v>
      </c>
      <c r="F377" s="7">
        <v>142.80000000000001</v>
      </c>
      <c r="G377" s="7">
        <v>149</v>
      </c>
      <c r="H377" s="7">
        <v>142.80000000000001</v>
      </c>
      <c r="I377" s="7">
        <v>149</v>
      </c>
      <c r="J377" s="7">
        <v>147450</v>
      </c>
      <c r="K377" s="7">
        <v>1000</v>
      </c>
      <c r="L377" s="7">
        <v>319</v>
      </c>
      <c r="M377" s="7">
        <v>139.44999999999999</v>
      </c>
      <c r="N377" s="7">
        <v>145.22999999999999</v>
      </c>
      <c r="O377" s="10">
        <v>4.5199999999999997E-2</v>
      </c>
      <c r="P377" s="8">
        <f t="shared" si="1"/>
        <v>145.23000000000002</v>
      </c>
    </row>
    <row r="378" spans="1:16" ht="15">
      <c r="A378" s="6" t="s">
        <v>17</v>
      </c>
      <c r="B378" s="6" t="s">
        <v>35</v>
      </c>
      <c r="C378" s="6" t="s">
        <v>676</v>
      </c>
      <c r="D378" s="6" t="s">
        <v>677</v>
      </c>
      <c r="E378" s="7">
        <v>49.6</v>
      </c>
      <c r="F378" s="7">
        <v>48</v>
      </c>
      <c r="G378" s="7">
        <v>49.4</v>
      </c>
      <c r="H378" s="7">
        <v>48</v>
      </c>
      <c r="I378" s="7">
        <v>49.4</v>
      </c>
      <c r="J378" s="7">
        <v>145600</v>
      </c>
      <c r="K378" s="7">
        <v>3000</v>
      </c>
      <c r="L378" s="7">
        <v>96.9</v>
      </c>
      <c r="M378" s="7">
        <v>31.8</v>
      </c>
      <c r="N378" s="7">
        <v>48.88</v>
      </c>
      <c r="O378" s="10">
        <v>-4.0000000000000001E-3</v>
      </c>
      <c r="P378" s="8">
        <f t="shared" si="1"/>
        <v>48.88</v>
      </c>
    </row>
    <row r="379" spans="1:16" ht="15">
      <c r="A379" s="6" t="s">
        <v>17</v>
      </c>
      <c r="B379" s="6" t="s">
        <v>18</v>
      </c>
      <c r="C379" s="6" t="s">
        <v>192</v>
      </c>
      <c r="D379" s="6" t="s">
        <v>193</v>
      </c>
      <c r="E379" s="7">
        <v>62</v>
      </c>
      <c r="F379" s="7">
        <v>62</v>
      </c>
      <c r="G379" s="7">
        <v>62</v>
      </c>
      <c r="H379" s="7">
        <v>59.25</v>
      </c>
      <c r="I379" s="7">
        <v>60.6</v>
      </c>
      <c r="J379" s="7">
        <v>145500</v>
      </c>
      <c r="K379" s="7">
        <v>2400</v>
      </c>
      <c r="L379" s="7">
        <v>95.8</v>
      </c>
      <c r="M379" s="7">
        <v>53.9</v>
      </c>
      <c r="N379" s="7">
        <v>61.17</v>
      </c>
      <c r="O379" s="10">
        <v>-2.2599999999999999E-2</v>
      </c>
      <c r="P379" s="8">
        <f t="shared" si="1"/>
        <v>61.17</v>
      </c>
    </row>
    <row r="380" spans="1:16" ht="15">
      <c r="A380" s="6" t="s">
        <v>17</v>
      </c>
      <c r="B380" s="6" t="s">
        <v>18</v>
      </c>
      <c r="C380" s="6" t="s">
        <v>150</v>
      </c>
      <c r="D380" s="6" t="s">
        <v>151</v>
      </c>
      <c r="E380" s="7">
        <v>48</v>
      </c>
      <c r="F380" s="7">
        <v>48</v>
      </c>
      <c r="G380" s="7">
        <v>50.4</v>
      </c>
      <c r="H380" s="7">
        <v>45.7</v>
      </c>
      <c r="I380" s="7">
        <v>49</v>
      </c>
      <c r="J380" s="7">
        <v>144350</v>
      </c>
      <c r="K380" s="7">
        <v>3000</v>
      </c>
      <c r="L380" s="7">
        <v>105.9</v>
      </c>
      <c r="M380" s="7">
        <v>35.6</v>
      </c>
      <c r="N380" s="7">
        <v>48.22</v>
      </c>
      <c r="O380" s="10">
        <v>2.0799999999999999E-2</v>
      </c>
      <c r="P380" s="8">
        <f t="shared" si="1"/>
        <v>48.220000000000006</v>
      </c>
    </row>
    <row r="381" spans="1:16" ht="15">
      <c r="A381" s="6" t="s">
        <v>17</v>
      </c>
      <c r="B381" s="6" t="s">
        <v>18</v>
      </c>
      <c r="C381" s="6" t="s">
        <v>128</v>
      </c>
      <c r="D381" s="6" t="s">
        <v>129</v>
      </c>
      <c r="E381" s="7">
        <v>29.7</v>
      </c>
      <c r="F381" s="7">
        <v>29.7</v>
      </c>
      <c r="G381" s="7">
        <v>30</v>
      </c>
      <c r="H381" s="7">
        <v>28.75</v>
      </c>
      <c r="I381" s="7">
        <v>29.75</v>
      </c>
      <c r="J381" s="7">
        <v>141560</v>
      </c>
      <c r="K381" s="7">
        <v>4800</v>
      </c>
      <c r="L381" s="7">
        <v>79</v>
      </c>
      <c r="M381" s="7">
        <v>27.35</v>
      </c>
      <c r="N381" s="7">
        <v>29.58</v>
      </c>
      <c r="O381" s="10">
        <v>1.6999999999999999E-3</v>
      </c>
      <c r="P381" s="8">
        <f t="shared" si="1"/>
        <v>29.580000000000002</v>
      </c>
    </row>
    <row r="382" spans="1:16" ht="15">
      <c r="A382" s="6" t="s">
        <v>17</v>
      </c>
      <c r="B382" s="6" t="s">
        <v>18</v>
      </c>
      <c r="C382" s="6" t="s">
        <v>215</v>
      </c>
      <c r="D382" s="6" t="s">
        <v>216</v>
      </c>
      <c r="E382" s="7">
        <v>37.799999999999997</v>
      </c>
      <c r="F382" s="7">
        <v>35.35</v>
      </c>
      <c r="G382" s="7">
        <v>35.35</v>
      </c>
      <c r="H382" s="7">
        <v>35.35</v>
      </c>
      <c r="I382" s="7">
        <v>35.35</v>
      </c>
      <c r="J382" s="7">
        <v>141400</v>
      </c>
      <c r="K382" s="7">
        <v>4000</v>
      </c>
      <c r="L382" s="7">
        <v>44.25</v>
      </c>
      <c r="M382" s="7">
        <v>32</v>
      </c>
      <c r="N382" s="7">
        <v>35.840000000000003</v>
      </c>
      <c r="O382" s="10">
        <v>-6.4799999999999996E-2</v>
      </c>
      <c r="P382" s="8">
        <f t="shared" si="1"/>
        <v>35.839999999999996</v>
      </c>
    </row>
    <row r="383" spans="1:16" ht="15">
      <c r="A383" s="6" t="s">
        <v>17</v>
      </c>
      <c r="B383" s="6" t="s">
        <v>18</v>
      </c>
      <c r="C383" s="6" t="s">
        <v>277</v>
      </c>
      <c r="D383" s="6" t="s">
        <v>278</v>
      </c>
      <c r="E383" s="7">
        <v>132</v>
      </c>
      <c r="F383" s="7">
        <v>139</v>
      </c>
      <c r="G383" s="7">
        <v>139</v>
      </c>
      <c r="H383" s="7">
        <v>139</v>
      </c>
      <c r="I383" s="7">
        <v>139</v>
      </c>
      <c r="J383" s="7">
        <v>139000</v>
      </c>
      <c r="K383" s="7">
        <v>1000</v>
      </c>
      <c r="L383" s="7">
        <v>234</v>
      </c>
      <c r="M383" s="7">
        <v>109</v>
      </c>
      <c r="N383" s="7">
        <v>137.6</v>
      </c>
      <c r="O383" s="10">
        <v>5.2999999999999999E-2</v>
      </c>
      <c r="P383" s="8">
        <f t="shared" si="1"/>
        <v>137.6</v>
      </c>
    </row>
    <row r="384" spans="1:16" ht="15">
      <c r="A384" s="6" t="s">
        <v>17</v>
      </c>
      <c r="B384" s="6" t="s">
        <v>18</v>
      </c>
      <c r="C384" s="6" t="s">
        <v>90</v>
      </c>
      <c r="D384" s="6" t="s">
        <v>91</v>
      </c>
      <c r="E384" s="7">
        <v>17.350000000000001</v>
      </c>
      <c r="F384" s="7">
        <v>17.3</v>
      </c>
      <c r="G384" s="7">
        <v>17.3</v>
      </c>
      <c r="H384" s="7">
        <v>17.100000000000001</v>
      </c>
      <c r="I384" s="7">
        <v>17.100000000000001</v>
      </c>
      <c r="J384" s="7">
        <v>137600</v>
      </c>
      <c r="K384" s="7">
        <v>8000</v>
      </c>
      <c r="L384" s="7">
        <v>46.5</v>
      </c>
      <c r="M384" s="7">
        <v>16.95</v>
      </c>
      <c r="N384" s="7">
        <v>17.23</v>
      </c>
      <c r="O384" s="10">
        <v>-1.44E-2</v>
      </c>
      <c r="P384" s="8">
        <f t="shared" si="1"/>
        <v>17.23</v>
      </c>
    </row>
    <row r="385" spans="1:16" ht="15">
      <c r="A385" s="6" t="s">
        <v>17</v>
      </c>
      <c r="B385" s="6" t="s">
        <v>18</v>
      </c>
      <c r="C385" s="6" t="s">
        <v>600</v>
      </c>
      <c r="D385" s="6" t="s">
        <v>601</v>
      </c>
      <c r="E385" s="7">
        <v>8.8000000000000007</v>
      </c>
      <c r="F385" s="7">
        <v>8.75</v>
      </c>
      <c r="G385" s="7">
        <v>8.75</v>
      </c>
      <c r="H385" s="7">
        <v>8.4</v>
      </c>
      <c r="I385" s="7">
        <v>8.5</v>
      </c>
      <c r="J385" s="7">
        <v>137000</v>
      </c>
      <c r="K385" s="7">
        <v>16000</v>
      </c>
      <c r="L385" s="7">
        <v>39</v>
      </c>
      <c r="M385" s="7">
        <v>8.4</v>
      </c>
      <c r="N385" s="7">
        <v>8.64</v>
      </c>
      <c r="O385" s="10">
        <v>-3.4099999999999998E-2</v>
      </c>
      <c r="P385" s="8">
        <f t="shared" si="1"/>
        <v>8.64</v>
      </c>
    </row>
    <row r="386" spans="1:16" ht="15">
      <c r="A386" s="6" t="s">
        <v>17</v>
      </c>
      <c r="B386" s="6" t="s">
        <v>18</v>
      </c>
      <c r="C386" s="6" t="s">
        <v>419</v>
      </c>
      <c r="D386" s="6" t="s">
        <v>420</v>
      </c>
      <c r="E386" s="7">
        <v>43.25</v>
      </c>
      <c r="F386" s="7">
        <v>45</v>
      </c>
      <c r="G386" s="7">
        <v>45</v>
      </c>
      <c r="H386" s="7">
        <v>44.95</v>
      </c>
      <c r="I386" s="7">
        <v>44.95</v>
      </c>
      <c r="J386" s="7">
        <v>134950</v>
      </c>
      <c r="K386" s="7">
        <v>3000</v>
      </c>
      <c r="L386" s="7">
        <v>114.85</v>
      </c>
      <c r="M386" s="7">
        <v>38.5</v>
      </c>
      <c r="N386" s="7">
        <v>44.63</v>
      </c>
      <c r="O386" s="10">
        <v>3.9300000000000002E-2</v>
      </c>
      <c r="P386" s="8">
        <f t="shared" si="1"/>
        <v>44.629999999999995</v>
      </c>
    </row>
    <row r="387" spans="1:16" ht="15">
      <c r="A387" s="6" t="s">
        <v>17</v>
      </c>
      <c r="B387" s="6" t="s">
        <v>35</v>
      </c>
      <c r="C387" s="6" t="s">
        <v>311</v>
      </c>
      <c r="D387" s="6" t="s">
        <v>312</v>
      </c>
      <c r="E387" s="7">
        <v>16.8</v>
      </c>
      <c r="F387" s="7">
        <v>17.600000000000001</v>
      </c>
      <c r="G387" s="7">
        <v>17.600000000000001</v>
      </c>
      <c r="H387" s="7">
        <v>17.600000000000001</v>
      </c>
      <c r="I387" s="7">
        <v>17.600000000000001</v>
      </c>
      <c r="J387" s="7">
        <v>123200</v>
      </c>
      <c r="K387" s="7">
        <v>7000</v>
      </c>
      <c r="L387" s="7">
        <v>31.75</v>
      </c>
      <c r="M387" s="7">
        <v>5.95</v>
      </c>
      <c r="N387" s="7">
        <v>17.440000000000001</v>
      </c>
      <c r="O387" s="10">
        <v>4.7600000000000003E-2</v>
      </c>
      <c r="P387" s="8">
        <f t="shared" si="1"/>
        <v>17.440000000000005</v>
      </c>
    </row>
    <row r="388" spans="1:16" ht="15">
      <c r="A388" s="6" t="s">
        <v>17</v>
      </c>
      <c r="B388" s="6" t="s">
        <v>35</v>
      </c>
      <c r="C388" s="6" t="s">
        <v>136</v>
      </c>
      <c r="D388" s="6" t="s">
        <v>137</v>
      </c>
      <c r="E388" s="7">
        <v>20.3</v>
      </c>
      <c r="F388" s="7">
        <v>20</v>
      </c>
      <c r="G388" s="7">
        <v>20</v>
      </c>
      <c r="H388" s="7">
        <v>20</v>
      </c>
      <c r="I388" s="7">
        <v>20</v>
      </c>
      <c r="J388" s="7">
        <v>120000</v>
      </c>
      <c r="K388" s="7">
        <v>6000</v>
      </c>
      <c r="L388" s="7">
        <v>25.3</v>
      </c>
      <c r="M388" s="7">
        <v>13.65</v>
      </c>
      <c r="N388" s="7">
        <v>20.059999999999999</v>
      </c>
      <c r="O388" s="10">
        <v>-1.4800000000000001E-2</v>
      </c>
      <c r="P388" s="8">
        <f t="shared" si="1"/>
        <v>20.059999999999999</v>
      </c>
    </row>
    <row r="389" spans="1:16" ht="15">
      <c r="A389" s="6" t="s">
        <v>17</v>
      </c>
      <c r="B389" s="6" t="s">
        <v>18</v>
      </c>
      <c r="C389" s="6" t="s">
        <v>475</v>
      </c>
      <c r="D389" s="6" t="s">
        <v>476</v>
      </c>
      <c r="E389" s="7">
        <v>40</v>
      </c>
      <c r="F389" s="7">
        <v>40</v>
      </c>
      <c r="G389" s="7">
        <v>40</v>
      </c>
      <c r="H389" s="7">
        <v>40</v>
      </c>
      <c r="I389" s="7">
        <v>40</v>
      </c>
      <c r="J389" s="7">
        <v>120000</v>
      </c>
      <c r="K389" s="7">
        <v>3000</v>
      </c>
      <c r="L389" s="7">
        <v>89.5</v>
      </c>
      <c r="M389" s="7">
        <v>37.200000000000003</v>
      </c>
      <c r="N389" s="7">
        <v>40</v>
      </c>
      <c r="O389" s="10">
        <v>0</v>
      </c>
      <c r="P389" s="8">
        <f t="shared" si="1"/>
        <v>40</v>
      </c>
    </row>
    <row r="390" spans="1:16" ht="15">
      <c r="A390" s="6" t="s">
        <v>17</v>
      </c>
      <c r="B390" s="6" t="s">
        <v>18</v>
      </c>
      <c r="C390" s="6" t="s">
        <v>186</v>
      </c>
      <c r="D390" s="6" t="s">
        <v>187</v>
      </c>
      <c r="E390" s="7">
        <v>71.3</v>
      </c>
      <c r="F390" s="7">
        <v>74.75</v>
      </c>
      <c r="G390" s="7">
        <v>74.75</v>
      </c>
      <c r="H390" s="7">
        <v>74.75</v>
      </c>
      <c r="I390" s="7">
        <v>74.75</v>
      </c>
      <c r="J390" s="7">
        <v>119600</v>
      </c>
      <c r="K390" s="7">
        <v>1600</v>
      </c>
      <c r="L390" s="7">
        <v>100.2</v>
      </c>
      <c r="M390" s="7">
        <v>64</v>
      </c>
      <c r="N390" s="7">
        <v>74.06</v>
      </c>
      <c r="O390" s="10">
        <v>4.8399999999999999E-2</v>
      </c>
      <c r="P390" s="8">
        <f t="shared" si="1"/>
        <v>74.06</v>
      </c>
    </row>
    <row r="391" spans="1:16" ht="15">
      <c r="A391" s="6" t="s">
        <v>17</v>
      </c>
      <c r="B391" s="6" t="s">
        <v>18</v>
      </c>
      <c r="C391" s="6" t="s">
        <v>586</v>
      </c>
      <c r="D391" s="6" t="s">
        <v>587</v>
      </c>
      <c r="E391" s="7">
        <v>9.5</v>
      </c>
      <c r="F391" s="7">
        <v>9.5</v>
      </c>
      <c r="G391" s="7">
        <v>9.6</v>
      </c>
      <c r="H391" s="7">
        <v>9.5</v>
      </c>
      <c r="I391" s="7">
        <v>9.6</v>
      </c>
      <c r="J391" s="7">
        <v>114600</v>
      </c>
      <c r="K391" s="7">
        <v>12000</v>
      </c>
      <c r="L391" s="7">
        <v>42</v>
      </c>
      <c r="M391" s="7">
        <v>8.8000000000000007</v>
      </c>
      <c r="N391" s="7">
        <v>9.5399999999999991</v>
      </c>
      <c r="O391" s="10">
        <v>1.0500000000000001E-2</v>
      </c>
      <c r="P391" s="8">
        <f t="shared" si="1"/>
        <v>9.5400000000000009</v>
      </c>
    </row>
    <row r="392" spans="1:16" ht="15">
      <c r="A392" s="6" t="s">
        <v>17</v>
      </c>
      <c r="B392" s="6" t="s">
        <v>35</v>
      </c>
      <c r="C392" s="6" t="s">
        <v>930</v>
      </c>
      <c r="D392" s="6" t="s">
        <v>931</v>
      </c>
      <c r="E392" s="7">
        <v>113</v>
      </c>
      <c r="F392" s="7">
        <v>113</v>
      </c>
      <c r="G392" s="7">
        <v>113</v>
      </c>
      <c r="H392" s="7">
        <v>113</v>
      </c>
      <c r="I392" s="7">
        <v>113</v>
      </c>
      <c r="J392" s="7">
        <v>113000</v>
      </c>
      <c r="K392" s="7">
        <v>1000</v>
      </c>
      <c r="L392" s="7">
        <v>209.95</v>
      </c>
      <c r="M392" s="7">
        <v>97</v>
      </c>
      <c r="N392" s="7">
        <v>113</v>
      </c>
      <c r="O392" s="10">
        <v>0</v>
      </c>
      <c r="P392" s="8">
        <f t="shared" si="1"/>
        <v>113</v>
      </c>
    </row>
    <row r="393" spans="1:16" ht="15">
      <c r="A393" s="6" t="s">
        <v>17</v>
      </c>
      <c r="B393" s="6" t="s">
        <v>18</v>
      </c>
      <c r="C393" s="6" t="s">
        <v>33</v>
      </c>
      <c r="D393" s="6" t="s">
        <v>34</v>
      </c>
      <c r="E393" s="7">
        <v>28.95</v>
      </c>
      <c r="F393" s="7">
        <v>28</v>
      </c>
      <c r="G393" s="7">
        <v>28</v>
      </c>
      <c r="H393" s="7">
        <v>28</v>
      </c>
      <c r="I393" s="7">
        <v>28</v>
      </c>
      <c r="J393" s="7">
        <v>112000</v>
      </c>
      <c r="K393" s="7">
        <v>4000</v>
      </c>
      <c r="L393" s="7">
        <v>31.65</v>
      </c>
      <c r="M393" s="7">
        <v>17.5</v>
      </c>
      <c r="N393" s="7">
        <v>28.19</v>
      </c>
      <c r="O393" s="10">
        <v>-3.2800000000000003E-2</v>
      </c>
      <c r="P393" s="8">
        <f t="shared" si="1"/>
        <v>28.189999999999998</v>
      </c>
    </row>
    <row r="394" spans="1:16" ht="15">
      <c r="A394" s="6" t="s">
        <v>17</v>
      </c>
      <c r="B394" s="6" t="s">
        <v>18</v>
      </c>
      <c r="C394" s="6" t="s">
        <v>716</v>
      </c>
      <c r="D394" s="6" t="s">
        <v>717</v>
      </c>
      <c r="E394" s="7">
        <v>69</v>
      </c>
      <c r="F394" s="7">
        <v>69.05</v>
      </c>
      <c r="G394" s="7">
        <v>69.05</v>
      </c>
      <c r="H394" s="7">
        <v>69.05</v>
      </c>
      <c r="I394" s="7">
        <v>69.05</v>
      </c>
      <c r="J394" s="7">
        <v>110480</v>
      </c>
      <c r="K394" s="7">
        <v>1600</v>
      </c>
      <c r="L394" s="7">
        <v>139.65</v>
      </c>
      <c r="M394" s="7">
        <v>66.650000000000006</v>
      </c>
      <c r="N394" s="7">
        <v>69.040000000000006</v>
      </c>
      <c r="O394" s="10">
        <v>6.9999999999999999E-4</v>
      </c>
      <c r="P394" s="8">
        <f t="shared" si="1"/>
        <v>69.040000000000006</v>
      </c>
    </row>
    <row r="395" spans="1:16" ht="15">
      <c r="A395" s="6" t="s">
        <v>17</v>
      </c>
      <c r="B395" s="6" t="s">
        <v>18</v>
      </c>
      <c r="C395" s="6" t="s">
        <v>239</v>
      </c>
      <c r="D395" s="6" t="s">
        <v>240</v>
      </c>
      <c r="E395" s="7">
        <v>31.6</v>
      </c>
      <c r="F395" s="7">
        <v>31</v>
      </c>
      <c r="G395" s="7">
        <v>31</v>
      </c>
      <c r="H395" s="7">
        <v>30</v>
      </c>
      <c r="I395" s="7">
        <v>30.35</v>
      </c>
      <c r="J395" s="7">
        <v>109620</v>
      </c>
      <c r="K395" s="7">
        <v>3600</v>
      </c>
      <c r="L395" s="7">
        <v>54.5</v>
      </c>
      <c r="M395" s="7">
        <v>29.2</v>
      </c>
      <c r="N395" s="7">
        <v>30.79</v>
      </c>
      <c r="O395" s="10">
        <v>-3.9600000000000003E-2</v>
      </c>
      <c r="P395" s="8">
        <f t="shared" si="1"/>
        <v>30.79</v>
      </c>
    </row>
    <row r="396" spans="1:16" ht="15">
      <c r="A396" s="6" t="s">
        <v>17</v>
      </c>
      <c r="B396" s="6" t="s">
        <v>18</v>
      </c>
      <c r="C396" s="6" t="s">
        <v>273</v>
      </c>
      <c r="D396" s="6" t="s">
        <v>274</v>
      </c>
      <c r="E396" s="7">
        <v>14.45</v>
      </c>
      <c r="F396" s="7">
        <v>14.7</v>
      </c>
      <c r="G396" s="7">
        <v>15.15</v>
      </c>
      <c r="H396" s="7">
        <v>14.7</v>
      </c>
      <c r="I396" s="7">
        <v>15.15</v>
      </c>
      <c r="J396" s="7">
        <v>108540</v>
      </c>
      <c r="K396" s="7">
        <v>7200</v>
      </c>
      <c r="L396" s="7">
        <v>46.9</v>
      </c>
      <c r="M396" s="7">
        <v>14.25</v>
      </c>
      <c r="N396" s="7">
        <v>14.83</v>
      </c>
      <c r="O396" s="10">
        <v>4.8399999999999999E-2</v>
      </c>
      <c r="P396" s="8">
        <f t="shared" si="1"/>
        <v>14.830000000000002</v>
      </c>
    </row>
    <row r="397" spans="1:16" ht="15">
      <c r="A397" s="6" t="s">
        <v>17</v>
      </c>
      <c r="B397" s="6" t="s">
        <v>18</v>
      </c>
      <c r="C397" s="6" t="s">
        <v>313</v>
      </c>
      <c r="D397" s="6" t="s">
        <v>314</v>
      </c>
      <c r="E397" s="7">
        <v>4.5</v>
      </c>
      <c r="F397" s="7">
        <v>4.5</v>
      </c>
      <c r="G397" s="7">
        <v>4.7</v>
      </c>
      <c r="H397" s="7">
        <v>4.5</v>
      </c>
      <c r="I397" s="7">
        <v>4.7</v>
      </c>
      <c r="J397" s="7">
        <v>103500</v>
      </c>
      <c r="K397" s="7">
        <v>22500</v>
      </c>
      <c r="L397" s="7">
        <v>13.5</v>
      </c>
      <c r="M397" s="7">
        <v>4.5</v>
      </c>
      <c r="N397" s="7">
        <v>4.58</v>
      </c>
      <c r="O397" s="10">
        <v>4.4400000000000002E-2</v>
      </c>
      <c r="P397" s="8">
        <f t="shared" si="1"/>
        <v>4.58</v>
      </c>
    </row>
    <row r="398" spans="1:16" ht="15">
      <c r="A398" s="6" t="s">
        <v>17</v>
      </c>
      <c r="B398" s="6" t="s">
        <v>18</v>
      </c>
      <c r="C398" s="6" t="s">
        <v>652</v>
      </c>
      <c r="D398" s="6" t="s">
        <v>653</v>
      </c>
      <c r="E398" s="7">
        <v>102</v>
      </c>
      <c r="F398" s="7">
        <v>102</v>
      </c>
      <c r="G398" s="7">
        <v>102</v>
      </c>
      <c r="H398" s="7">
        <v>102</v>
      </c>
      <c r="I398" s="7">
        <v>102</v>
      </c>
      <c r="J398" s="7">
        <v>102000</v>
      </c>
      <c r="K398" s="7">
        <v>1000</v>
      </c>
      <c r="L398" s="7">
        <v>175</v>
      </c>
      <c r="M398" s="7">
        <v>55.2</v>
      </c>
      <c r="N398" s="7">
        <v>102</v>
      </c>
      <c r="O398" s="10">
        <v>0</v>
      </c>
      <c r="P398" s="8">
        <f t="shared" si="1"/>
        <v>102</v>
      </c>
    </row>
    <row r="399" spans="1:16" ht="15">
      <c r="A399" s="6" t="s">
        <v>17</v>
      </c>
      <c r="B399" s="6" t="s">
        <v>18</v>
      </c>
      <c r="C399" s="6" t="s">
        <v>828</v>
      </c>
      <c r="D399" s="6" t="s">
        <v>829</v>
      </c>
      <c r="E399" s="7">
        <v>69</v>
      </c>
      <c r="F399" s="7">
        <v>67.5</v>
      </c>
      <c r="G399" s="7">
        <v>67.5</v>
      </c>
      <c r="H399" s="7">
        <v>67.5</v>
      </c>
      <c r="I399" s="7">
        <v>67.5</v>
      </c>
      <c r="J399" s="7">
        <v>101250</v>
      </c>
      <c r="K399" s="7">
        <v>1500</v>
      </c>
      <c r="L399" s="7">
        <v>107.85</v>
      </c>
      <c r="M399" s="7">
        <v>59</v>
      </c>
      <c r="N399" s="7">
        <v>67.8</v>
      </c>
      <c r="O399" s="10">
        <v>-2.1700000000000001E-2</v>
      </c>
      <c r="P399" s="8">
        <f t="shared" si="1"/>
        <v>67.8</v>
      </c>
    </row>
    <row r="400" spans="1:16" ht="15">
      <c r="A400" s="6" t="s">
        <v>17</v>
      </c>
      <c r="B400" s="6" t="s">
        <v>18</v>
      </c>
      <c r="C400" s="6" t="s">
        <v>467</v>
      </c>
      <c r="D400" s="6" t="s">
        <v>468</v>
      </c>
      <c r="E400" s="7">
        <v>50</v>
      </c>
      <c r="F400" s="7">
        <v>51</v>
      </c>
      <c r="G400" s="7">
        <v>51</v>
      </c>
      <c r="H400" s="7">
        <v>50</v>
      </c>
      <c r="I400" s="7">
        <v>50.5</v>
      </c>
      <c r="J400" s="7">
        <v>101000</v>
      </c>
      <c r="K400" s="7">
        <v>2000</v>
      </c>
      <c r="L400" s="7">
        <v>124.5</v>
      </c>
      <c r="M400" s="7">
        <v>50</v>
      </c>
      <c r="N400" s="7">
        <v>50.5</v>
      </c>
      <c r="O400" s="10">
        <v>0.01</v>
      </c>
      <c r="P400" s="8">
        <f t="shared" si="1"/>
        <v>50.5</v>
      </c>
    </row>
    <row r="401" spans="1:16" ht="15">
      <c r="A401" s="6" t="s">
        <v>17</v>
      </c>
      <c r="B401" s="6" t="s">
        <v>18</v>
      </c>
      <c r="C401" s="6" t="s">
        <v>618</v>
      </c>
      <c r="D401" s="6" t="s">
        <v>619</v>
      </c>
      <c r="E401" s="7">
        <v>1200</v>
      </c>
      <c r="F401" s="7">
        <v>1248</v>
      </c>
      <c r="G401" s="7">
        <v>1248</v>
      </c>
      <c r="H401" s="7">
        <v>1248</v>
      </c>
      <c r="I401" s="7">
        <v>1248</v>
      </c>
      <c r="J401" s="7">
        <v>99840</v>
      </c>
      <c r="K401" s="7">
        <v>80</v>
      </c>
      <c r="L401" s="7">
        <v>1584</v>
      </c>
      <c r="M401" s="7">
        <v>815.1</v>
      </c>
      <c r="N401" s="7">
        <v>1238.4000000000001</v>
      </c>
      <c r="O401" s="10">
        <v>0.04</v>
      </c>
      <c r="P401" s="8">
        <f t="shared" si="1"/>
        <v>1238.4000000000001</v>
      </c>
    </row>
    <row r="402" spans="1:16" ht="15">
      <c r="A402" s="6" t="s">
        <v>17</v>
      </c>
      <c r="B402" s="6" t="s">
        <v>18</v>
      </c>
      <c r="C402" s="6" t="s">
        <v>985</v>
      </c>
      <c r="D402" s="6" t="s">
        <v>986</v>
      </c>
      <c r="E402" s="7">
        <v>102.9</v>
      </c>
      <c r="F402" s="7">
        <v>98.15</v>
      </c>
      <c r="G402" s="7">
        <v>98.15</v>
      </c>
      <c r="H402" s="7">
        <v>98.15</v>
      </c>
      <c r="I402" s="7">
        <v>98.15</v>
      </c>
      <c r="J402" s="7">
        <v>98150</v>
      </c>
      <c r="K402" s="7">
        <v>1000</v>
      </c>
      <c r="L402" s="7">
        <v>182.5</v>
      </c>
      <c r="M402" s="7">
        <v>98.15</v>
      </c>
      <c r="N402" s="7">
        <v>99.1</v>
      </c>
      <c r="O402" s="10">
        <v>-4.6199999999999998E-2</v>
      </c>
      <c r="P402" s="8">
        <f t="shared" si="1"/>
        <v>99.1</v>
      </c>
    </row>
    <row r="403" spans="1:16" ht="15">
      <c r="A403" s="6" t="s">
        <v>17</v>
      </c>
      <c r="B403" s="6" t="s">
        <v>18</v>
      </c>
      <c r="C403" s="6" t="s">
        <v>818</v>
      </c>
      <c r="D403" s="6" t="s">
        <v>819</v>
      </c>
      <c r="E403" s="7">
        <v>19</v>
      </c>
      <c r="F403" s="7">
        <v>19.5</v>
      </c>
      <c r="G403" s="7">
        <v>19.8</v>
      </c>
      <c r="H403" s="7">
        <v>19.100000000000001</v>
      </c>
      <c r="I403" s="7">
        <v>19.8</v>
      </c>
      <c r="J403" s="7">
        <v>93720</v>
      </c>
      <c r="K403" s="7">
        <v>4800</v>
      </c>
      <c r="L403" s="7">
        <v>52.95</v>
      </c>
      <c r="M403" s="7">
        <v>18.899999999999999</v>
      </c>
      <c r="N403" s="7">
        <v>19.440000000000001</v>
      </c>
      <c r="O403" s="10">
        <v>4.2099999999999999E-2</v>
      </c>
      <c r="P403" s="8">
        <f t="shared" si="1"/>
        <v>19.440000000000001</v>
      </c>
    </row>
    <row r="404" spans="1:16" ht="15">
      <c r="A404" s="6" t="s">
        <v>17</v>
      </c>
      <c r="B404" s="6" t="s">
        <v>18</v>
      </c>
      <c r="C404" s="6" t="s">
        <v>70</v>
      </c>
      <c r="D404" s="6" t="s">
        <v>71</v>
      </c>
      <c r="E404" s="7">
        <v>79</v>
      </c>
      <c r="F404" s="7">
        <v>75.099999999999994</v>
      </c>
      <c r="G404" s="7">
        <v>75.099999999999994</v>
      </c>
      <c r="H404" s="7">
        <v>75.099999999999994</v>
      </c>
      <c r="I404" s="7">
        <v>75.099999999999994</v>
      </c>
      <c r="J404" s="7">
        <v>90120</v>
      </c>
      <c r="K404" s="7">
        <v>1200</v>
      </c>
      <c r="L404" s="7">
        <v>164.85</v>
      </c>
      <c r="M404" s="7">
        <v>75.099999999999994</v>
      </c>
      <c r="N404" s="7">
        <v>75.88</v>
      </c>
      <c r="O404" s="10">
        <v>-4.9399999999999999E-2</v>
      </c>
      <c r="P404" s="8">
        <f t="shared" si="1"/>
        <v>75.88</v>
      </c>
    </row>
    <row r="405" spans="1:16" ht="15">
      <c r="A405" s="6" t="s">
        <v>17</v>
      </c>
      <c r="B405" s="6" t="s">
        <v>18</v>
      </c>
      <c r="C405" s="6" t="s">
        <v>307</v>
      </c>
      <c r="D405" s="6" t="s">
        <v>308</v>
      </c>
      <c r="E405" s="7">
        <v>115</v>
      </c>
      <c r="F405" s="7">
        <v>119.9</v>
      </c>
      <c r="G405" s="7">
        <v>119.9</v>
      </c>
      <c r="H405" s="7">
        <v>119.9</v>
      </c>
      <c r="I405" s="7">
        <v>119.9</v>
      </c>
      <c r="J405" s="7">
        <v>89925</v>
      </c>
      <c r="K405" s="7">
        <v>750</v>
      </c>
      <c r="L405" s="7">
        <v>159.69999999999999</v>
      </c>
      <c r="M405" s="7">
        <v>93.1</v>
      </c>
      <c r="N405" s="7">
        <v>118.92</v>
      </c>
      <c r="O405" s="10">
        <v>4.2599999999999999E-2</v>
      </c>
      <c r="P405" s="8">
        <f t="shared" si="1"/>
        <v>118.92</v>
      </c>
    </row>
    <row r="406" spans="1:16" ht="15">
      <c r="A406" s="6" t="s">
        <v>17</v>
      </c>
      <c r="B406" s="6" t="s">
        <v>35</v>
      </c>
      <c r="C406" s="6" t="s">
        <v>521</v>
      </c>
      <c r="D406" s="6" t="s">
        <v>522</v>
      </c>
      <c r="E406" s="7">
        <v>3.65</v>
      </c>
      <c r="F406" s="7">
        <v>3.65</v>
      </c>
      <c r="G406" s="7">
        <v>3.65</v>
      </c>
      <c r="H406" s="7">
        <v>3.6</v>
      </c>
      <c r="I406" s="7">
        <v>3.6</v>
      </c>
      <c r="J406" s="7">
        <v>86800</v>
      </c>
      <c r="K406" s="7">
        <v>24000</v>
      </c>
      <c r="L406" s="7">
        <v>10.6</v>
      </c>
      <c r="M406" s="7">
        <v>3.05</v>
      </c>
      <c r="N406" s="7">
        <v>3.63</v>
      </c>
      <c r="O406" s="10">
        <v>-1.37E-2</v>
      </c>
      <c r="P406" s="8">
        <f t="shared" si="1"/>
        <v>3.63</v>
      </c>
    </row>
    <row r="407" spans="1:16" ht="15">
      <c r="A407" s="6" t="s">
        <v>17</v>
      </c>
      <c r="B407" s="6" t="s">
        <v>18</v>
      </c>
      <c r="C407" s="6" t="s">
        <v>987</v>
      </c>
      <c r="D407" s="6" t="s">
        <v>988</v>
      </c>
      <c r="E407" s="7">
        <v>26.75</v>
      </c>
      <c r="F407" s="7">
        <v>25.7</v>
      </c>
      <c r="G407" s="7">
        <v>25.9</v>
      </c>
      <c r="H407" s="7">
        <v>25.7</v>
      </c>
      <c r="I407" s="7">
        <v>25.9</v>
      </c>
      <c r="J407" s="7">
        <v>82560</v>
      </c>
      <c r="K407" s="7">
        <v>3200</v>
      </c>
      <c r="L407" s="7">
        <v>40.5</v>
      </c>
      <c r="M407" s="7">
        <v>22.2</v>
      </c>
      <c r="N407" s="7">
        <v>25.99</v>
      </c>
      <c r="O407" s="10">
        <v>-3.1800000000000002E-2</v>
      </c>
      <c r="P407" s="8">
        <f t="shared" si="1"/>
        <v>25.99</v>
      </c>
    </row>
    <row r="408" spans="1:16" ht="15">
      <c r="A408" s="6" t="s">
        <v>17</v>
      </c>
      <c r="B408" s="6" t="s">
        <v>18</v>
      </c>
      <c r="C408" s="6" t="s">
        <v>25</v>
      </c>
      <c r="D408" s="6" t="s">
        <v>26</v>
      </c>
      <c r="E408" s="7">
        <v>22.75</v>
      </c>
      <c r="F408" s="7">
        <v>20.6</v>
      </c>
      <c r="G408" s="7">
        <v>20.6</v>
      </c>
      <c r="H408" s="7">
        <v>20.6</v>
      </c>
      <c r="I408" s="7">
        <v>20.6</v>
      </c>
      <c r="J408" s="7">
        <v>82400</v>
      </c>
      <c r="K408" s="7">
        <v>4000</v>
      </c>
      <c r="L408" s="7">
        <v>25.5</v>
      </c>
      <c r="M408" s="7">
        <v>14.5</v>
      </c>
      <c r="N408" s="7">
        <v>21.03</v>
      </c>
      <c r="O408" s="10">
        <v>-9.4500000000000001E-2</v>
      </c>
      <c r="P408" s="8">
        <f t="shared" si="1"/>
        <v>21.03</v>
      </c>
    </row>
    <row r="409" spans="1:16" ht="15">
      <c r="A409" s="6" t="s">
        <v>17</v>
      </c>
      <c r="B409" s="6" t="s">
        <v>18</v>
      </c>
      <c r="C409" s="6" t="s">
        <v>567</v>
      </c>
      <c r="D409" s="6" t="s">
        <v>568</v>
      </c>
      <c r="E409" s="7">
        <v>83</v>
      </c>
      <c r="F409" s="7">
        <v>80.5</v>
      </c>
      <c r="G409" s="7">
        <v>80.5</v>
      </c>
      <c r="H409" s="7">
        <v>80.5</v>
      </c>
      <c r="I409" s="7">
        <v>80.5</v>
      </c>
      <c r="J409" s="7">
        <v>80500</v>
      </c>
      <c r="K409" s="7">
        <v>1000</v>
      </c>
      <c r="L409" s="7">
        <v>126.95</v>
      </c>
      <c r="M409" s="7">
        <v>63.05</v>
      </c>
      <c r="N409" s="7">
        <v>81</v>
      </c>
      <c r="O409" s="10">
        <v>-3.0099999999999998E-2</v>
      </c>
      <c r="P409" s="8">
        <f t="shared" si="1"/>
        <v>81</v>
      </c>
    </row>
    <row r="410" spans="1:16" ht="15">
      <c r="A410" s="6" t="s">
        <v>17</v>
      </c>
      <c r="B410" s="6" t="s">
        <v>18</v>
      </c>
      <c r="C410" s="6" t="s">
        <v>802</v>
      </c>
      <c r="D410" s="6" t="s">
        <v>803</v>
      </c>
      <c r="E410" s="7">
        <v>200</v>
      </c>
      <c r="F410" s="7">
        <v>196</v>
      </c>
      <c r="G410" s="7">
        <v>199</v>
      </c>
      <c r="H410" s="7">
        <v>196</v>
      </c>
      <c r="I410" s="7">
        <v>199</v>
      </c>
      <c r="J410" s="7">
        <v>79000</v>
      </c>
      <c r="K410" s="7">
        <v>400</v>
      </c>
      <c r="L410" s="7">
        <v>510</v>
      </c>
      <c r="M410" s="7">
        <v>181.1</v>
      </c>
      <c r="N410" s="7">
        <v>198</v>
      </c>
      <c r="O410" s="10">
        <v>-5.0000000000000001E-3</v>
      </c>
      <c r="P410" s="8">
        <f t="shared" si="1"/>
        <v>198</v>
      </c>
    </row>
    <row r="411" spans="1:16" ht="15">
      <c r="A411" s="6" t="s">
        <v>17</v>
      </c>
      <c r="B411" s="6" t="s">
        <v>18</v>
      </c>
      <c r="C411" s="6" t="s">
        <v>527</v>
      </c>
      <c r="D411" s="6" t="s">
        <v>528</v>
      </c>
      <c r="E411" s="7">
        <v>15.4</v>
      </c>
      <c r="F411" s="7">
        <v>16.95</v>
      </c>
      <c r="G411" s="7">
        <v>16.95</v>
      </c>
      <c r="H411" s="7">
        <v>15.15</v>
      </c>
      <c r="I411" s="7">
        <v>15.25</v>
      </c>
      <c r="J411" s="7">
        <v>78700</v>
      </c>
      <c r="K411" s="7">
        <v>5000</v>
      </c>
      <c r="L411" s="7">
        <v>27.4</v>
      </c>
      <c r="M411" s="7">
        <v>15.15</v>
      </c>
      <c r="N411" s="7">
        <v>15.94</v>
      </c>
      <c r="O411" s="10">
        <v>-9.7000000000000003E-3</v>
      </c>
      <c r="P411" s="8">
        <f t="shared" si="1"/>
        <v>15.940000000000001</v>
      </c>
    </row>
    <row r="412" spans="1:16" ht="15">
      <c r="A412" s="6" t="s">
        <v>17</v>
      </c>
      <c r="B412" s="6" t="s">
        <v>35</v>
      </c>
      <c r="C412" s="6" t="s">
        <v>94</v>
      </c>
      <c r="D412" s="6" t="s">
        <v>95</v>
      </c>
      <c r="E412" s="7">
        <v>150</v>
      </c>
      <c r="F412" s="7">
        <v>150</v>
      </c>
      <c r="G412" s="7">
        <v>150</v>
      </c>
      <c r="H412" s="7">
        <v>150</v>
      </c>
      <c r="I412" s="7">
        <v>150</v>
      </c>
      <c r="J412" s="7">
        <v>75000</v>
      </c>
      <c r="K412" s="7">
        <v>500</v>
      </c>
      <c r="L412" s="7">
        <v>154</v>
      </c>
      <c r="M412" s="7">
        <v>76.55</v>
      </c>
      <c r="N412" s="7">
        <v>150</v>
      </c>
      <c r="O412" s="10">
        <v>0</v>
      </c>
      <c r="P412" s="8">
        <f t="shared" si="1"/>
        <v>150</v>
      </c>
    </row>
    <row r="413" spans="1:16" ht="15">
      <c r="A413" s="6" t="s">
        <v>17</v>
      </c>
      <c r="B413" s="6" t="s">
        <v>35</v>
      </c>
      <c r="C413" s="6" t="s">
        <v>740</v>
      </c>
      <c r="D413" s="6" t="s">
        <v>741</v>
      </c>
      <c r="E413" s="7">
        <v>613.70000000000005</v>
      </c>
      <c r="F413" s="7">
        <v>583.04999999999995</v>
      </c>
      <c r="G413" s="7">
        <v>583.04999999999995</v>
      </c>
      <c r="H413" s="7">
        <v>583.04999999999995</v>
      </c>
      <c r="I413" s="7">
        <v>583.04999999999995</v>
      </c>
      <c r="J413" s="7">
        <v>72881.25</v>
      </c>
      <c r="K413" s="7">
        <v>125</v>
      </c>
      <c r="L413" s="7">
        <v>997</v>
      </c>
      <c r="M413" s="7">
        <v>452.95</v>
      </c>
      <c r="N413" s="7">
        <v>589.17999999999995</v>
      </c>
      <c r="O413" s="10">
        <v>-4.99E-2</v>
      </c>
      <c r="P413" s="8">
        <f t="shared" si="1"/>
        <v>589.17999999999995</v>
      </c>
    </row>
    <row r="414" spans="1:16" ht="15">
      <c r="A414" s="6" t="s">
        <v>17</v>
      </c>
      <c r="B414" s="6" t="s">
        <v>18</v>
      </c>
      <c r="C414" s="6" t="s">
        <v>421</v>
      </c>
      <c r="D414" s="6" t="s">
        <v>422</v>
      </c>
      <c r="E414" s="7">
        <v>61</v>
      </c>
      <c r="F414" s="7">
        <v>59</v>
      </c>
      <c r="G414" s="7">
        <v>60.95</v>
      </c>
      <c r="H414" s="7">
        <v>59</v>
      </c>
      <c r="I414" s="7">
        <v>60.95</v>
      </c>
      <c r="J414" s="7">
        <v>71970</v>
      </c>
      <c r="K414" s="7">
        <v>1200</v>
      </c>
      <c r="L414" s="7">
        <v>124.5</v>
      </c>
      <c r="M414" s="7">
        <v>53.25</v>
      </c>
      <c r="N414" s="7">
        <v>60.18</v>
      </c>
      <c r="O414" s="10">
        <v>-8.0000000000000004E-4</v>
      </c>
      <c r="P414" s="8">
        <f t="shared" si="1"/>
        <v>60.179999999999993</v>
      </c>
    </row>
    <row r="415" spans="1:16" ht="15">
      <c r="A415" s="6" t="s">
        <v>17</v>
      </c>
      <c r="B415" s="6" t="s">
        <v>18</v>
      </c>
      <c r="C415" s="6" t="s">
        <v>537</v>
      </c>
      <c r="D415" s="6" t="s">
        <v>538</v>
      </c>
      <c r="E415" s="7">
        <v>117.9</v>
      </c>
      <c r="F415" s="7">
        <v>110.35</v>
      </c>
      <c r="G415" s="7">
        <v>117.5</v>
      </c>
      <c r="H415" s="7">
        <v>110.35</v>
      </c>
      <c r="I415" s="7">
        <v>117.5</v>
      </c>
      <c r="J415" s="7">
        <v>68355</v>
      </c>
      <c r="K415" s="7">
        <v>600</v>
      </c>
      <c r="L415" s="7">
        <v>276.89999999999998</v>
      </c>
      <c r="M415" s="7">
        <v>100</v>
      </c>
      <c r="N415" s="7">
        <v>114.72</v>
      </c>
      <c r="O415" s="10">
        <v>-3.3999999999999998E-3</v>
      </c>
      <c r="P415" s="8">
        <f t="shared" si="1"/>
        <v>114.72</v>
      </c>
    </row>
    <row r="416" spans="1:16" ht="15">
      <c r="A416" s="6" t="s">
        <v>17</v>
      </c>
      <c r="B416" s="6" t="s">
        <v>18</v>
      </c>
      <c r="C416" s="6" t="s">
        <v>989</v>
      </c>
      <c r="D416" s="6" t="s">
        <v>990</v>
      </c>
      <c r="E416" s="7">
        <v>22.75</v>
      </c>
      <c r="F416" s="7">
        <v>22.75</v>
      </c>
      <c r="G416" s="7">
        <v>22.75</v>
      </c>
      <c r="H416" s="7">
        <v>22.75</v>
      </c>
      <c r="I416" s="7">
        <v>22.75</v>
      </c>
      <c r="J416" s="7">
        <v>68250</v>
      </c>
      <c r="K416" s="7">
        <v>3000</v>
      </c>
      <c r="L416" s="7">
        <v>53</v>
      </c>
      <c r="M416" s="7">
        <v>22.05</v>
      </c>
      <c r="N416" s="7">
        <v>22.75</v>
      </c>
      <c r="O416" s="10">
        <v>0</v>
      </c>
      <c r="P416" s="8">
        <f t="shared" si="1"/>
        <v>22.75</v>
      </c>
    </row>
    <row r="417" spans="1:16" ht="15">
      <c r="A417" s="6" t="s">
        <v>17</v>
      </c>
      <c r="B417" s="6" t="s">
        <v>18</v>
      </c>
      <c r="C417" s="6" t="s">
        <v>100</v>
      </c>
      <c r="D417" s="6" t="s">
        <v>101</v>
      </c>
      <c r="E417" s="7">
        <v>16.5</v>
      </c>
      <c r="F417" s="7">
        <v>16.95</v>
      </c>
      <c r="G417" s="7">
        <v>16.95</v>
      </c>
      <c r="H417" s="7">
        <v>16.7</v>
      </c>
      <c r="I417" s="7">
        <v>16.7</v>
      </c>
      <c r="J417" s="7">
        <v>67300</v>
      </c>
      <c r="K417" s="7">
        <v>4000</v>
      </c>
      <c r="L417" s="7">
        <v>40</v>
      </c>
      <c r="M417" s="7">
        <v>15.3</v>
      </c>
      <c r="N417" s="7">
        <v>16.760000000000002</v>
      </c>
      <c r="O417" s="10">
        <v>1.21E-2</v>
      </c>
      <c r="P417" s="8">
        <f t="shared" si="1"/>
        <v>16.760000000000002</v>
      </c>
    </row>
    <row r="418" spans="1:16" ht="15">
      <c r="A418" s="6" t="s">
        <v>17</v>
      </c>
      <c r="B418" s="6" t="s">
        <v>35</v>
      </c>
      <c r="C418" s="6" t="s">
        <v>575</v>
      </c>
      <c r="D418" s="6" t="s">
        <v>576</v>
      </c>
      <c r="E418" s="7">
        <v>66</v>
      </c>
      <c r="F418" s="7">
        <v>66</v>
      </c>
      <c r="G418" s="7">
        <v>66</v>
      </c>
      <c r="H418" s="7">
        <v>66</v>
      </c>
      <c r="I418" s="7">
        <v>66</v>
      </c>
      <c r="J418" s="7">
        <v>66000</v>
      </c>
      <c r="K418" s="7">
        <v>1000</v>
      </c>
      <c r="L418" s="7">
        <v>99.5</v>
      </c>
      <c r="M418" s="7">
        <v>50.55</v>
      </c>
      <c r="N418" s="7">
        <v>66</v>
      </c>
      <c r="O418" s="10">
        <v>0</v>
      </c>
      <c r="P418" s="8">
        <f t="shared" si="1"/>
        <v>66</v>
      </c>
    </row>
    <row r="419" spans="1:16" ht="15">
      <c r="A419" s="6" t="s">
        <v>17</v>
      </c>
      <c r="B419" s="6" t="s">
        <v>18</v>
      </c>
      <c r="C419" s="6" t="s">
        <v>991</v>
      </c>
      <c r="D419" s="6" t="s">
        <v>992</v>
      </c>
      <c r="E419" s="7">
        <v>5.25</v>
      </c>
      <c r="F419" s="7">
        <v>5.55</v>
      </c>
      <c r="G419" s="7">
        <v>5.55</v>
      </c>
      <c r="H419" s="7">
        <v>5.3</v>
      </c>
      <c r="I419" s="7">
        <v>5.3</v>
      </c>
      <c r="J419" s="7">
        <v>65100</v>
      </c>
      <c r="K419" s="7">
        <v>12000</v>
      </c>
      <c r="L419" s="7">
        <v>11.8</v>
      </c>
      <c r="M419" s="7">
        <v>4.8</v>
      </c>
      <c r="N419" s="7">
        <v>5.39</v>
      </c>
      <c r="O419" s="10">
        <v>9.4999999999999998E-3</v>
      </c>
      <c r="P419" s="8">
        <f t="shared" si="1"/>
        <v>5.3900000000000006</v>
      </c>
    </row>
    <row r="420" spans="1:16" ht="15">
      <c r="A420" s="6" t="s">
        <v>17</v>
      </c>
      <c r="B420" s="6" t="s">
        <v>18</v>
      </c>
      <c r="C420" s="6" t="s">
        <v>96</v>
      </c>
      <c r="D420" s="6" t="s">
        <v>97</v>
      </c>
      <c r="E420" s="7">
        <v>65.25</v>
      </c>
      <c r="F420" s="7">
        <v>64.650000000000006</v>
      </c>
      <c r="G420" s="7">
        <v>64.650000000000006</v>
      </c>
      <c r="H420" s="7">
        <v>64.650000000000006</v>
      </c>
      <c r="I420" s="7">
        <v>64.650000000000006</v>
      </c>
      <c r="J420" s="7">
        <v>64650</v>
      </c>
      <c r="K420" s="7">
        <v>1000</v>
      </c>
      <c r="L420" s="7">
        <v>93.7</v>
      </c>
      <c r="M420" s="7">
        <v>60</v>
      </c>
      <c r="N420" s="7">
        <v>64.77</v>
      </c>
      <c r="O420" s="10">
        <v>-9.1999999999999998E-3</v>
      </c>
      <c r="P420" s="8">
        <f t="shared" si="1"/>
        <v>64.77000000000001</v>
      </c>
    </row>
    <row r="421" spans="1:16" ht="15">
      <c r="A421" s="6" t="s">
        <v>17</v>
      </c>
      <c r="B421" s="6" t="s">
        <v>35</v>
      </c>
      <c r="C421" s="6" t="s">
        <v>465</v>
      </c>
      <c r="D421" s="6" t="s">
        <v>466</v>
      </c>
      <c r="E421" s="7">
        <v>15.65</v>
      </c>
      <c r="F421" s="7">
        <v>15.65</v>
      </c>
      <c r="G421" s="7">
        <v>15.65</v>
      </c>
      <c r="H421" s="7">
        <v>15.65</v>
      </c>
      <c r="I421" s="7">
        <v>15.65</v>
      </c>
      <c r="J421" s="7">
        <v>62600</v>
      </c>
      <c r="K421" s="7">
        <v>4000</v>
      </c>
      <c r="L421" s="7">
        <v>28.2</v>
      </c>
      <c r="M421" s="7">
        <v>13.3</v>
      </c>
      <c r="N421" s="7">
        <v>15.65</v>
      </c>
      <c r="O421" s="10">
        <v>0</v>
      </c>
      <c r="P421" s="8">
        <f t="shared" si="1"/>
        <v>15.65</v>
      </c>
    </row>
    <row r="422" spans="1:16" ht="15">
      <c r="A422" s="6" t="s">
        <v>17</v>
      </c>
      <c r="B422" s="6" t="s">
        <v>18</v>
      </c>
      <c r="C422" s="6" t="s">
        <v>365</v>
      </c>
      <c r="D422" s="6" t="s">
        <v>366</v>
      </c>
      <c r="E422" s="7">
        <v>10.3</v>
      </c>
      <c r="F422" s="7">
        <v>10.050000000000001</v>
      </c>
      <c r="G422" s="7">
        <v>10.45</v>
      </c>
      <c r="H422" s="7">
        <v>10.050000000000001</v>
      </c>
      <c r="I422" s="7">
        <v>10.45</v>
      </c>
      <c r="J422" s="7">
        <v>61900</v>
      </c>
      <c r="K422" s="7">
        <v>6000</v>
      </c>
      <c r="L422" s="7">
        <v>28.25</v>
      </c>
      <c r="M422" s="7">
        <v>9.5</v>
      </c>
      <c r="N422" s="7">
        <v>10.26</v>
      </c>
      <c r="O422" s="10">
        <v>1.46E-2</v>
      </c>
      <c r="P422" s="8">
        <f t="shared" si="1"/>
        <v>10.26</v>
      </c>
    </row>
    <row r="423" spans="1:16" ht="15">
      <c r="A423" s="6" t="s">
        <v>17</v>
      </c>
      <c r="B423" s="6" t="s">
        <v>18</v>
      </c>
      <c r="C423" s="6" t="s">
        <v>666</v>
      </c>
      <c r="D423" s="6" t="s">
        <v>667</v>
      </c>
      <c r="E423" s="7">
        <v>20</v>
      </c>
      <c r="F423" s="7">
        <v>19.100000000000001</v>
      </c>
      <c r="G423" s="7">
        <v>19.25</v>
      </c>
      <c r="H423" s="7">
        <v>19.100000000000001</v>
      </c>
      <c r="I423" s="7">
        <v>19.25</v>
      </c>
      <c r="J423" s="7">
        <v>61360</v>
      </c>
      <c r="K423" s="7">
        <v>3200</v>
      </c>
      <c r="L423" s="7">
        <v>40.6</v>
      </c>
      <c r="M423" s="7">
        <v>19.100000000000001</v>
      </c>
      <c r="N423" s="7">
        <v>19.34</v>
      </c>
      <c r="O423" s="10">
        <v>-3.7499999999999999E-2</v>
      </c>
      <c r="P423" s="8">
        <f t="shared" si="1"/>
        <v>19.34</v>
      </c>
    </row>
    <row r="424" spans="1:16" ht="15">
      <c r="A424" s="6" t="s">
        <v>17</v>
      </c>
      <c r="B424" s="6" t="s">
        <v>18</v>
      </c>
      <c r="C424" s="6" t="s">
        <v>890</v>
      </c>
      <c r="D424" s="6" t="s">
        <v>891</v>
      </c>
      <c r="E424" s="7">
        <v>48.5</v>
      </c>
      <c r="F424" s="7">
        <v>50.9</v>
      </c>
      <c r="G424" s="7">
        <v>50.9</v>
      </c>
      <c r="H424" s="7">
        <v>50.9</v>
      </c>
      <c r="I424" s="7">
        <v>50.9</v>
      </c>
      <c r="J424" s="7">
        <v>61080</v>
      </c>
      <c r="K424" s="7">
        <v>1200</v>
      </c>
      <c r="L424" s="7">
        <v>95.9</v>
      </c>
      <c r="M424" s="7">
        <v>44</v>
      </c>
      <c r="N424" s="7">
        <v>50.42</v>
      </c>
      <c r="O424" s="10">
        <v>4.9500000000000002E-2</v>
      </c>
      <c r="P424" s="8">
        <f t="shared" si="1"/>
        <v>50.42</v>
      </c>
    </row>
    <row r="425" spans="1:16" ht="15">
      <c r="A425" s="6" t="s">
        <v>17</v>
      </c>
      <c r="B425" s="6" t="s">
        <v>18</v>
      </c>
      <c r="C425" s="6" t="s">
        <v>295</v>
      </c>
      <c r="D425" s="6" t="s">
        <v>296</v>
      </c>
      <c r="E425" s="7">
        <v>9.9</v>
      </c>
      <c r="F425" s="7">
        <v>9.9499999999999993</v>
      </c>
      <c r="G425" s="7">
        <v>10.1</v>
      </c>
      <c r="H425" s="7">
        <v>9.9499999999999993</v>
      </c>
      <c r="I425" s="7">
        <v>10.1</v>
      </c>
      <c r="J425" s="7">
        <v>60150</v>
      </c>
      <c r="K425" s="7">
        <v>6000</v>
      </c>
      <c r="L425" s="7">
        <v>17.5</v>
      </c>
      <c r="M425" s="7">
        <v>9</v>
      </c>
      <c r="N425" s="7">
        <v>10</v>
      </c>
      <c r="O425" s="10">
        <v>2.0199999999999999E-2</v>
      </c>
      <c r="P425" s="8">
        <f t="shared" si="1"/>
        <v>10.000000000000002</v>
      </c>
    </row>
    <row r="426" spans="1:16" ht="15">
      <c r="A426" s="6" t="s">
        <v>17</v>
      </c>
      <c r="B426" s="6" t="s">
        <v>18</v>
      </c>
      <c r="C426" s="6" t="s">
        <v>493</v>
      </c>
      <c r="D426" s="6" t="s">
        <v>494</v>
      </c>
      <c r="E426" s="7">
        <v>9.4499999999999993</v>
      </c>
      <c r="F426" s="7">
        <v>9.5</v>
      </c>
      <c r="G426" s="7">
        <v>9.9</v>
      </c>
      <c r="H426" s="7">
        <v>9.5</v>
      </c>
      <c r="I426" s="7">
        <v>9.9</v>
      </c>
      <c r="J426" s="7">
        <v>58600</v>
      </c>
      <c r="K426" s="7">
        <v>6000</v>
      </c>
      <c r="L426" s="7">
        <v>28.9</v>
      </c>
      <c r="M426" s="7">
        <v>9.4499999999999993</v>
      </c>
      <c r="N426" s="7">
        <v>9.65</v>
      </c>
      <c r="O426" s="10">
        <v>4.7600000000000003E-2</v>
      </c>
      <c r="P426" s="8">
        <f t="shared" si="1"/>
        <v>9.65</v>
      </c>
    </row>
    <row r="427" spans="1:16" ht="15">
      <c r="A427" s="6" t="s">
        <v>17</v>
      </c>
      <c r="B427" s="6" t="s">
        <v>35</v>
      </c>
      <c r="C427" s="6" t="s">
        <v>363</v>
      </c>
      <c r="D427" s="6" t="s">
        <v>364</v>
      </c>
      <c r="E427" s="7">
        <v>80.2</v>
      </c>
      <c r="F427" s="7">
        <v>80.2</v>
      </c>
      <c r="G427" s="7">
        <v>81.8</v>
      </c>
      <c r="H427" s="7">
        <v>78.599999999999994</v>
      </c>
      <c r="I427" s="7">
        <v>78.599999999999994</v>
      </c>
      <c r="J427" s="7">
        <v>58584.75</v>
      </c>
      <c r="K427" s="7">
        <v>735</v>
      </c>
      <c r="L427" s="7">
        <v>152.4</v>
      </c>
      <c r="M427" s="7">
        <v>27.7</v>
      </c>
      <c r="N427" s="7">
        <v>79.88</v>
      </c>
      <c r="O427" s="10">
        <v>-0.02</v>
      </c>
      <c r="P427" s="8">
        <f t="shared" si="1"/>
        <v>79.88</v>
      </c>
    </row>
    <row r="428" spans="1:16" ht="15">
      <c r="A428" s="6" t="s">
        <v>17</v>
      </c>
      <c r="B428" s="6" t="s">
        <v>18</v>
      </c>
      <c r="C428" s="6" t="s">
        <v>774</v>
      </c>
      <c r="D428" s="6" t="s">
        <v>775</v>
      </c>
      <c r="E428" s="7">
        <v>23.15</v>
      </c>
      <c r="F428" s="7">
        <v>24.3</v>
      </c>
      <c r="G428" s="7">
        <v>24.3</v>
      </c>
      <c r="H428" s="7">
        <v>24.3</v>
      </c>
      <c r="I428" s="7">
        <v>24.3</v>
      </c>
      <c r="J428" s="7">
        <v>58320</v>
      </c>
      <c r="K428" s="7">
        <v>2400</v>
      </c>
      <c r="L428" s="7">
        <v>43</v>
      </c>
      <c r="M428" s="7">
        <v>23.15</v>
      </c>
      <c r="N428" s="7">
        <v>24.07</v>
      </c>
      <c r="O428" s="10">
        <v>4.9700000000000001E-2</v>
      </c>
      <c r="P428" s="8">
        <f t="shared" si="1"/>
        <v>24.07</v>
      </c>
    </row>
    <row r="429" spans="1:16" ht="15">
      <c r="A429" s="6" t="s">
        <v>17</v>
      </c>
      <c r="B429" s="6" t="s">
        <v>18</v>
      </c>
      <c r="C429" s="6" t="s">
        <v>993</v>
      </c>
      <c r="D429" s="6" t="s">
        <v>994</v>
      </c>
      <c r="E429" s="7">
        <v>50</v>
      </c>
      <c r="F429" s="7">
        <v>48.35</v>
      </c>
      <c r="G429" s="7">
        <v>48.35</v>
      </c>
      <c r="H429" s="7">
        <v>48.3</v>
      </c>
      <c r="I429" s="7">
        <v>48.3</v>
      </c>
      <c r="J429" s="7">
        <v>57990</v>
      </c>
      <c r="K429" s="7">
        <v>1200</v>
      </c>
      <c r="L429" s="7">
        <v>125</v>
      </c>
      <c r="M429" s="7">
        <v>48</v>
      </c>
      <c r="N429" s="7">
        <v>48.66</v>
      </c>
      <c r="O429" s="10">
        <v>-3.4000000000000002E-2</v>
      </c>
      <c r="P429" s="8">
        <f t="shared" si="1"/>
        <v>48.660000000000004</v>
      </c>
    </row>
    <row r="430" spans="1:16" ht="15">
      <c r="A430" s="6" t="s">
        <v>206</v>
      </c>
      <c r="B430" s="6" t="s">
        <v>35</v>
      </c>
      <c r="C430" s="6" t="s">
        <v>838</v>
      </c>
      <c r="D430" s="6" t="s">
        <v>839</v>
      </c>
      <c r="E430" s="7">
        <v>58.35</v>
      </c>
      <c r="F430" s="7">
        <v>57.2</v>
      </c>
      <c r="G430" s="7">
        <v>57.2</v>
      </c>
      <c r="H430" s="7">
        <v>57.2</v>
      </c>
      <c r="I430" s="7">
        <v>57.2</v>
      </c>
      <c r="J430" s="7">
        <v>57200</v>
      </c>
      <c r="K430" s="7">
        <v>1000</v>
      </c>
      <c r="L430" s="7">
        <v>487.95</v>
      </c>
      <c r="M430" s="7">
        <v>38.5</v>
      </c>
      <c r="N430" s="7">
        <v>57.43</v>
      </c>
      <c r="O430" s="10">
        <v>-1.9699999999999999E-2</v>
      </c>
      <c r="P430" s="8">
        <f t="shared" si="1"/>
        <v>57.429999999999993</v>
      </c>
    </row>
    <row r="431" spans="1:16" ht="15">
      <c r="A431" s="6" t="s">
        <v>17</v>
      </c>
      <c r="B431" s="6" t="s">
        <v>18</v>
      </c>
      <c r="C431" s="6" t="s">
        <v>995</v>
      </c>
      <c r="D431" s="6" t="s">
        <v>996</v>
      </c>
      <c r="E431" s="7">
        <v>58</v>
      </c>
      <c r="F431" s="7">
        <v>55.2</v>
      </c>
      <c r="G431" s="7">
        <v>55.2</v>
      </c>
      <c r="H431" s="7">
        <v>55.2</v>
      </c>
      <c r="I431" s="7">
        <v>55.2</v>
      </c>
      <c r="J431" s="7">
        <v>55200</v>
      </c>
      <c r="K431" s="7">
        <v>1000</v>
      </c>
      <c r="L431" s="7">
        <v>91.1</v>
      </c>
      <c r="M431" s="7">
        <v>55.2</v>
      </c>
      <c r="N431" s="7">
        <v>55.76</v>
      </c>
      <c r="O431" s="10">
        <v>-4.8300000000000003E-2</v>
      </c>
      <c r="P431" s="8">
        <f t="shared" si="1"/>
        <v>55.760000000000005</v>
      </c>
    </row>
    <row r="432" spans="1:16" ht="15">
      <c r="A432" s="6" t="s">
        <v>17</v>
      </c>
      <c r="B432" s="6" t="s">
        <v>18</v>
      </c>
      <c r="C432" s="6" t="s">
        <v>42</v>
      </c>
      <c r="D432" s="6" t="s">
        <v>43</v>
      </c>
      <c r="E432" s="7">
        <v>23.8</v>
      </c>
      <c r="F432" s="7">
        <v>23.8</v>
      </c>
      <c r="G432" s="7">
        <v>23.8</v>
      </c>
      <c r="H432" s="7">
        <v>23.8</v>
      </c>
      <c r="I432" s="7">
        <v>23.8</v>
      </c>
      <c r="J432" s="7">
        <v>47600</v>
      </c>
      <c r="K432" s="7">
        <v>2000</v>
      </c>
      <c r="L432" s="7">
        <v>48.3</v>
      </c>
      <c r="M432" s="7">
        <v>21.35</v>
      </c>
      <c r="N432" s="7">
        <v>23.8</v>
      </c>
      <c r="O432" s="10">
        <v>0</v>
      </c>
      <c r="P432" s="8">
        <f t="shared" si="1"/>
        <v>23.8</v>
      </c>
    </row>
    <row r="433" spans="1:16" ht="15">
      <c r="A433" s="6" t="s">
        <v>17</v>
      </c>
      <c r="B433" s="6" t="s">
        <v>18</v>
      </c>
      <c r="C433" s="6" t="s">
        <v>814</v>
      </c>
      <c r="D433" s="6" t="s">
        <v>815</v>
      </c>
      <c r="E433" s="7">
        <v>57.8</v>
      </c>
      <c r="F433" s="7">
        <v>58.7</v>
      </c>
      <c r="G433" s="7">
        <v>61.3</v>
      </c>
      <c r="H433" s="7">
        <v>58.7</v>
      </c>
      <c r="I433" s="7">
        <v>61.3</v>
      </c>
      <c r="J433" s="7">
        <v>47480</v>
      </c>
      <c r="K433" s="7">
        <v>800</v>
      </c>
      <c r="L433" s="7">
        <v>191.85</v>
      </c>
      <c r="M433" s="7">
        <v>47.5</v>
      </c>
      <c r="N433" s="7">
        <v>59.56</v>
      </c>
      <c r="O433" s="10">
        <v>6.0600000000000001E-2</v>
      </c>
      <c r="P433" s="8">
        <f t="shared" si="1"/>
        <v>59.56</v>
      </c>
    </row>
    <row r="434" spans="1:16" ht="15">
      <c r="A434" s="6" t="s">
        <v>17</v>
      </c>
      <c r="B434" s="6" t="s">
        <v>18</v>
      </c>
      <c r="C434" s="6" t="s">
        <v>221</v>
      </c>
      <c r="D434" s="6" t="s">
        <v>222</v>
      </c>
      <c r="E434" s="7">
        <v>52.25</v>
      </c>
      <c r="F434" s="7">
        <v>54.8</v>
      </c>
      <c r="G434" s="7">
        <v>54.8</v>
      </c>
      <c r="H434" s="7">
        <v>54.8</v>
      </c>
      <c r="I434" s="7">
        <v>54.8</v>
      </c>
      <c r="J434" s="7">
        <v>43840</v>
      </c>
      <c r="K434" s="7">
        <v>800</v>
      </c>
      <c r="L434" s="7">
        <v>118.7</v>
      </c>
      <c r="M434" s="7">
        <v>52.25</v>
      </c>
      <c r="N434" s="7">
        <v>54.29</v>
      </c>
      <c r="O434" s="10">
        <v>4.8800000000000003E-2</v>
      </c>
      <c r="P434" s="8">
        <f t="shared" si="1"/>
        <v>54.29</v>
      </c>
    </row>
    <row r="435" spans="1:16" ht="15">
      <c r="A435" s="6" t="s">
        <v>17</v>
      </c>
      <c r="B435" s="6" t="s">
        <v>18</v>
      </c>
      <c r="C435" s="6" t="s">
        <v>852</v>
      </c>
      <c r="D435" s="6" t="s">
        <v>853</v>
      </c>
      <c r="E435" s="7">
        <v>14.5</v>
      </c>
      <c r="F435" s="7">
        <v>14.5</v>
      </c>
      <c r="G435" s="7">
        <v>14.5</v>
      </c>
      <c r="H435" s="7">
        <v>14.5</v>
      </c>
      <c r="I435" s="7">
        <v>14.5</v>
      </c>
      <c r="J435" s="7">
        <v>43500</v>
      </c>
      <c r="K435" s="7">
        <v>3000</v>
      </c>
      <c r="L435" s="7">
        <v>37.799999999999997</v>
      </c>
      <c r="M435" s="7">
        <v>13</v>
      </c>
      <c r="N435" s="7">
        <v>14.5</v>
      </c>
      <c r="O435" s="10">
        <v>0</v>
      </c>
      <c r="P435" s="8">
        <f t="shared" si="1"/>
        <v>14.5</v>
      </c>
    </row>
    <row r="436" spans="1:16" ht="15">
      <c r="A436" s="6" t="s">
        <v>17</v>
      </c>
      <c r="B436" s="6" t="s">
        <v>35</v>
      </c>
      <c r="C436" s="6" t="s">
        <v>770</v>
      </c>
      <c r="D436" s="6" t="s">
        <v>771</v>
      </c>
      <c r="E436" s="7">
        <v>8.85</v>
      </c>
      <c r="F436" s="7">
        <v>8.4499999999999993</v>
      </c>
      <c r="G436" s="7">
        <v>8.4499999999999993</v>
      </c>
      <c r="H436" s="7">
        <v>8.4499999999999993</v>
      </c>
      <c r="I436" s="7">
        <v>8.4499999999999993</v>
      </c>
      <c r="J436" s="7">
        <v>34138</v>
      </c>
      <c r="K436" s="7">
        <v>4040</v>
      </c>
      <c r="L436" s="7">
        <v>21.7</v>
      </c>
      <c r="M436" s="7">
        <v>5.6</v>
      </c>
      <c r="N436" s="7">
        <v>8.5299999999999994</v>
      </c>
      <c r="O436" s="10">
        <v>-4.5199999999999997E-2</v>
      </c>
      <c r="P436" s="8">
        <f t="shared" si="1"/>
        <v>8.5299999999999976</v>
      </c>
    </row>
    <row r="437" spans="1:16" ht="15">
      <c r="A437" s="6" t="s">
        <v>17</v>
      </c>
      <c r="B437" s="6" t="s">
        <v>18</v>
      </c>
      <c r="C437" s="6" t="s">
        <v>373</v>
      </c>
      <c r="D437" s="6" t="s">
        <v>374</v>
      </c>
      <c r="E437" s="7">
        <v>0.65</v>
      </c>
      <c r="F437" s="7">
        <v>0.65</v>
      </c>
      <c r="G437" s="7">
        <v>0.65</v>
      </c>
      <c r="H437" s="7">
        <v>0.65</v>
      </c>
      <c r="I437" s="7">
        <v>0.65</v>
      </c>
      <c r="J437" s="7">
        <v>31200</v>
      </c>
      <c r="K437" s="7">
        <v>48000</v>
      </c>
      <c r="L437" s="7">
        <v>1.8</v>
      </c>
      <c r="M437" s="7">
        <v>0.65</v>
      </c>
      <c r="N437" s="7">
        <v>0.65</v>
      </c>
      <c r="O437" s="10">
        <v>0</v>
      </c>
      <c r="P437" s="8">
        <f t="shared" si="1"/>
        <v>0.65</v>
      </c>
    </row>
    <row r="438" spans="1:16" ht="15">
      <c r="A438" s="6" t="s">
        <v>17</v>
      </c>
      <c r="B438" s="6" t="s">
        <v>35</v>
      </c>
      <c r="C438" s="6" t="s">
        <v>381</v>
      </c>
      <c r="D438" s="6" t="s">
        <v>382</v>
      </c>
      <c r="E438" s="7">
        <v>3.55</v>
      </c>
      <c r="F438" s="7">
        <v>3.4</v>
      </c>
      <c r="G438" s="7">
        <v>3.4</v>
      </c>
      <c r="H438" s="7">
        <v>3.4</v>
      </c>
      <c r="I438" s="7">
        <v>3.4</v>
      </c>
      <c r="J438" s="7">
        <v>30600</v>
      </c>
      <c r="K438" s="7">
        <v>9000</v>
      </c>
      <c r="L438" s="7">
        <v>14.6</v>
      </c>
      <c r="M438" s="7">
        <v>2.5</v>
      </c>
      <c r="N438" s="7">
        <v>3.43</v>
      </c>
      <c r="O438" s="10">
        <v>-4.2299999999999997E-2</v>
      </c>
      <c r="P438" s="8">
        <f t="shared" si="1"/>
        <v>3.4299999999999997</v>
      </c>
    </row>
    <row r="439" spans="1:16" ht="15">
      <c r="A439" s="6" t="s">
        <v>17</v>
      </c>
      <c r="B439" s="6" t="s">
        <v>18</v>
      </c>
      <c r="C439" s="6" t="s">
        <v>487</v>
      </c>
      <c r="D439" s="6" t="s">
        <v>488</v>
      </c>
      <c r="E439" s="7">
        <v>19</v>
      </c>
      <c r="F439" s="7">
        <v>19</v>
      </c>
      <c r="G439" s="7">
        <v>19</v>
      </c>
      <c r="H439" s="7">
        <v>19</v>
      </c>
      <c r="I439" s="7">
        <v>19</v>
      </c>
      <c r="J439" s="7">
        <v>30400</v>
      </c>
      <c r="K439" s="7">
        <v>1600</v>
      </c>
      <c r="L439" s="7">
        <v>32</v>
      </c>
      <c r="M439" s="7">
        <v>17.850000000000001</v>
      </c>
      <c r="N439" s="7">
        <v>19</v>
      </c>
      <c r="O439" s="10">
        <v>0</v>
      </c>
      <c r="P439" s="8">
        <f t="shared" si="1"/>
        <v>19</v>
      </c>
    </row>
    <row r="440" spans="1:16" ht="15">
      <c r="A440" s="6" t="s">
        <v>17</v>
      </c>
      <c r="B440" s="6" t="s">
        <v>18</v>
      </c>
      <c r="C440" s="6" t="s">
        <v>616</v>
      </c>
      <c r="D440" s="6" t="s">
        <v>617</v>
      </c>
      <c r="E440" s="7">
        <v>64</v>
      </c>
      <c r="F440" s="7">
        <v>60.8</v>
      </c>
      <c r="G440" s="7">
        <v>60.8</v>
      </c>
      <c r="H440" s="7">
        <v>60.8</v>
      </c>
      <c r="I440" s="7">
        <v>60.8</v>
      </c>
      <c r="J440" s="7">
        <v>30400</v>
      </c>
      <c r="K440" s="7">
        <v>500</v>
      </c>
      <c r="L440" s="7">
        <v>273</v>
      </c>
      <c r="M440" s="7">
        <v>60.8</v>
      </c>
      <c r="N440" s="7">
        <v>61.44</v>
      </c>
      <c r="O440" s="10">
        <v>-0.05</v>
      </c>
      <c r="P440" s="8">
        <f t="shared" si="1"/>
        <v>61.44</v>
      </c>
    </row>
    <row r="441" spans="1:16" ht="15">
      <c r="A441" s="6" t="s">
        <v>17</v>
      </c>
      <c r="B441" s="6" t="s">
        <v>35</v>
      </c>
      <c r="C441" s="6" t="s">
        <v>684</v>
      </c>
      <c r="D441" s="6" t="s">
        <v>685</v>
      </c>
      <c r="E441" s="7">
        <v>6</v>
      </c>
      <c r="F441" s="7">
        <v>6</v>
      </c>
      <c r="G441" s="7">
        <v>6</v>
      </c>
      <c r="H441" s="7">
        <v>6</v>
      </c>
      <c r="I441" s="7">
        <v>6</v>
      </c>
      <c r="J441" s="7">
        <v>30000</v>
      </c>
      <c r="K441" s="7">
        <v>5000</v>
      </c>
      <c r="L441" s="7">
        <v>10.85</v>
      </c>
      <c r="M441" s="7">
        <v>3.8</v>
      </c>
      <c r="N441" s="7">
        <v>6</v>
      </c>
      <c r="O441" s="10">
        <v>0</v>
      </c>
      <c r="P441" s="8">
        <f t="shared" si="1"/>
        <v>6</v>
      </c>
    </row>
    <row r="442" spans="1:16" ht="15">
      <c r="A442" s="6" t="s">
        <v>17</v>
      </c>
      <c r="B442" s="6" t="s">
        <v>18</v>
      </c>
      <c r="C442" s="6" t="s">
        <v>435</v>
      </c>
      <c r="D442" s="6" t="s">
        <v>436</v>
      </c>
      <c r="E442" s="7">
        <v>29.4</v>
      </c>
      <c r="F442" s="7">
        <v>29.4</v>
      </c>
      <c r="G442" s="7">
        <v>29.4</v>
      </c>
      <c r="H442" s="7">
        <v>29.4</v>
      </c>
      <c r="I442" s="7">
        <v>29.4</v>
      </c>
      <c r="J442" s="7">
        <v>17640</v>
      </c>
      <c r="K442" s="7">
        <v>600</v>
      </c>
      <c r="L442" s="7">
        <v>71.95</v>
      </c>
      <c r="M442" s="7">
        <v>24.5</v>
      </c>
      <c r="N442" s="7">
        <v>29.4</v>
      </c>
      <c r="O442" s="10">
        <v>0</v>
      </c>
      <c r="P442" s="8">
        <f t="shared" si="1"/>
        <v>29.4</v>
      </c>
    </row>
    <row r="443" spans="1:16" ht="15">
      <c r="A443" s="6" t="s">
        <v>17</v>
      </c>
      <c r="B443" s="6" t="s">
        <v>577</v>
      </c>
      <c r="C443" s="6" t="s">
        <v>578</v>
      </c>
      <c r="D443" s="6" t="s">
        <v>579</v>
      </c>
      <c r="E443" s="7">
        <v>3.55</v>
      </c>
      <c r="F443" s="7">
        <v>3.4</v>
      </c>
      <c r="G443" s="7">
        <v>3.4</v>
      </c>
      <c r="H443" s="7">
        <v>3.4</v>
      </c>
      <c r="I443" s="7">
        <v>3.4</v>
      </c>
      <c r="J443" s="7">
        <v>10200</v>
      </c>
      <c r="K443" s="7">
        <v>3000</v>
      </c>
      <c r="L443" s="7">
        <v>19.399999999999999</v>
      </c>
      <c r="M443" s="7">
        <v>3.4</v>
      </c>
      <c r="N443" s="7">
        <v>3.43</v>
      </c>
      <c r="O443" s="10">
        <v>-4.2299999999999997E-2</v>
      </c>
      <c r="P443" s="8">
        <f t="shared" si="1"/>
        <v>3.4299999999999997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53"/>
  <sheetViews>
    <sheetView topLeftCell="A39" workbookViewId="0">
      <selection activeCell="E59" sqref="E59"/>
    </sheetView>
  </sheetViews>
  <sheetFormatPr defaultColWidth="12.5703125" defaultRowHeight="15.75" customHeight="1"/>
  <cols>
    <col min="17" max="17" width="26.28515625" customWidth="1"/>
    <col min="20" max="20" width="18.5703125" customWidth="1"/>
    <col min="21" max="21" width="18.28515625" customWidth="1"/>
  </cols>
  <sheetData>
    <row r="1" spans="1:23">
      <c r="A1" s="11" t="s">
        <v>5</v>
      </c>
      <c r="B1" s="12" t="s">
        <v>6</v>
      </c>
      <c r="C1" s="12" t="s">
        <v>13</v>
      </c>
      <c r="D1" s="12" t="s">
        <v>16</v>
      </c>
      <c r="E1" s="13"/>
      <c r="F1" s="11" t="s">
        <v>5</v>
      </c>
      <c r="G1" s="11" t="s">
        <v>6</v>
      </c>
      <c r="H1" s="11" t="s">
        <v>13</v>
      </c>
      <c r="I1" s="11" t="s">
        <v>16</v>
      </c>
      <c r="J1" s="14" t="s">
        <v>997</v>
      </c>
      <c r="K1" s="15"/>
      <c r="P1" s="15"/>
      <c r="Q1" s="39" t="s">
        <v>998</v>
      </c>
      <c r="R1" s="40"/>
      <c r="S1" s="15"/>
      <c r="T1" s="41" t="s">
        <v>999</v>
      </c>
      <c r="U1" s="40"/>
    </row>
    <row r="2" spans="1:23" ht="15.75" customHeight="1">
      <c r="A2" s="16" t="s">
        <v>702</v>
      </c>
      <c r="B2" s="17" t="s">
        <v>703</v>
      </c>
      <c r="C2" s="18">
        <v>614000</v>
      </c>
      <c r="D2" s="18">
        <v>214.45</v>
      </c>
      <c r="E2" s="13"/>
      <c r="F2" s="16" t="s">
        <v>702</v>
      </c>
      <c r="G2" s="16" t="s">
        <v>703</v>
      </c>
      <c r="H2" s="19">
        <v>480500</v>
      </c>
      <c r="I2" s="19">
        <v>204.17</v>
      </c>
      <c r="J2" s="20">
        <v>-10.28</v>
      </c>
      <c r="K2" s="15"/>
      <c r="P2" s="15"/>
      <c r="Q2" s="16" t="s">
        <v>702</v>
      </c>
      <c r="R2" s="20">
        <v>-10.28</v>
      </c>
      <c r="S2" s="15"/>
      <c r="T2" s="16" t="s">
        <v>894</v>
      </c>
      <c r="U2" s="20">
        <v>0.75</v>
      </c>
    </row>
    <row r="3" spans="1:23" ht="15.75" customHeight="1">
      <c r="A3" s="16" t="s">
        <v>178</v>
      </c>
      <c r="B3" s="17" t="s">
        <v>179</v>
      </c>
      <c r="C3" s="18">
        <v>738750</v>
      </c>
      <c r="D3" s="18">
        <v>58.05</v>
      </c>
      <c r="E3" s="13"/>
      <c r="F3" s="16" t="s">
        <v>178</v>
      </c>
      <c r="G3" s="16" t="s">
        <v>179</v>
      </c>
      <c r="H3" s="19">
        <v>1635000</v>
      </c>
      <c r="I3" s="19">
        <v>48</v>
      </c>
      <c r="J3" s="20">
        <v>-10.050000000000001</v>
      </c>
      <c r="K3" s="15"/>
      <c r="P3" s="15"/>
      <c r="Q3" s="16" t="s">
        <v>178</v>
      </c>
      <c r="R3" s="20">
        <v>-10.050000000000001</v>
      </c>
      <c r="S3" s="15"/>
      <c r="T3" s="16" t="s">
        <v>902</v>
      </c>
      <c r="U3" s="20">
        <v>1.86</v>
      </c>
    </row>
    <row r="4" spans="1:23" ht="15.75" customHeight="1">
      <c r="A4" s="16" t="s">
        <v>233</v>
      </c>
      <c r="B4" s="17" t="s">
        <v>234</v>
      </c>
      <c r="C4" s="18">
        <v>59200</v>
      </c>
      <c r="D4" s="18">
        <v>220.73</v>
      </c>
      <c r="E4" s="13"/>
      <c r="F4" s="16" t="s">
        <v>233</v>
      </c>
      <c r="G4" s="16" t="s">
        <v>234</v>
      </c>
      <c r="H4" s="19">
        <v>56000</v>
      </c>
      <c r="I4" s="19">
        <v>211.17</v>
      </c>
      <c r="J4" s="20">
        <v>-9.56</v>
      </c>
      <c r="K4" s="15"/>
      <c r="P4" s="15"/>
      <c r="Q4" s="16" t="s">
        <v>233</v>
      </c>
      <c r="R4" s="20">
        <v>-9.56</v>
      </c>
      <c r="S4" s="15"/>
      <c r="T4" s="16" t="s">
        <v>848</v>
      </c>
      <c r="U4" s="20">
        <v>1.98</v>
      </c>
    </row>
    <row r="5" spans="1:23" ht="15.75" customHeight="1">
      <c r="A5" s="16" t="s">
        <v>257</v>
      </c>
      <c r="B5" s="17" t="s">
        <v>258</v>
      </c>
      <c r="C5" s="18">
        <v>217000</v>
      </c>
      <c r="D5" s="18">
        <v>94.57</v>
      </c>
      <c r="E5" s="13"/>
      <c r="F5" s="16" t="s">
        <v>257</v>
      </c>
      <c r="G5" s="16" t="s">
        <v>258</v>
      </c>
      <c r="H5" s="19">
        <v>50000</v>
      </c>
      <c r="I5" s="19">
        <v>88.27</v>
      </c>
      <c r="J5" s="15"/>
      <c r="K5" s="15"/>
      <c r="P5" s="15"/>
      <c r="Q5" s="16" t="s">
        <v>257</v>
      </c>
      <c r="R5" s="20">
        <v>-6.3</v>
      </c>
      <c r="S5" s="15"/>
      <c r="T5" s="16" t="s">
        <v>638</v>
      </c>
      <c r="U5" s="20">
        <v>3.18</v>
      </c>
    </row>
    <row r="6" spans="1:23" ht="15.75" customHeight="1">
      <c r="A6" s="16" t="s">
        <v>533</v>
      </c>
      <c r="B6" s="17" t="s">
        <v>534</v>
      </c>
      <c r="C6" s="18">
        <v>72000</v>
      </c>
      <c r="D6" s="18">
        <v>314.12</v>
      </c>
      <c r="E6" s="13"/>
      <c r="F6" s="16" t="s">
        <v>533</v>
      </c>
      <c r="G6" s="16" t="s">
        <v>534</v>
      </c>
      <c r="H6" s="19">
        <v>50400</v>
      </c>
      <c r="I6" s="19">
        <v>308.5</v>
      </c>
      <c r="J6" s="20">
        <v>-5.62</v>
      </c>
      <c r="K6" s="15"/>
      <c r="P6" s="15"/>
      <c r="Q6" s="16" t="s">
        <v>533</v>
      </c>
      <c r="R6" s="20">
        <v>-5.62</v>
      </c>
      <c r="S6" s="15"/>
      <c r="T6" s="16" t="s">
        <v>98</v>
      </c>
      <c r="U6" s="20">
        <v>3.25</v>
      </c>
      <c r="W6" s="15"/>
    </row>
    <row r="7" spans="1:23" ht="15.75" customHeight="1">
      <c r="A7" s="16" t="s">
        <v>110</v>
      </c>
      <c r="B7" s="17" t="s">
        <v>111</v>
      </c>
      <c r="C7" s="18">
        <v>180000</v>
      </c>
      <c r="D7" s="18">
        <v>71.94</v>
      </c>
      <c r="E7" s="13"/>
      <c r="F7" s="16" t="s">
        <v>110</v>
      </c>
      <c r="G7" s="16" t="s">
        <v>111</v>
      </c>
      <c r="H7" s="19">
        <v>68000</v>
      </c>
      <c r="I7" s="19">
        <v>69.09</v>
      </c>
      <c r="J7" s="20">
        <v>-2.85</v>
      </c>
      <c r="K7" s="15"/>
      <c r="P7" s="15"/>
      <c r="Q7" s="16" t="s">
        <v>110</v>
      </c>
      <c r="R7" s="20">
        <v>-2.85</v>
      </c>
      <c r="S7" s="15"/>
      <c r="T7" s="16" t="s">
        <v>545</v>
      </c>
      <c r="U7" s="20">
        <v>3.3</v>
      </c>
    </row>
    <row r="8" spans="1:23" ht="15.75" customHeight="1">
      <c r="A8" s="16" t="s">
        <v>800</v>
      </c>
      <c r="B8" s="17" t="s">
        <v>801</v>
      </c>
      <c r="C8" s="18">
        <v>129600</v>
      </c>
      <c r="D8" s="18">
        <v>31.8</v>
      </c>
      <c r="E8" s="13"/>
      <c r="F8" s="16" t="s">
        <v>800</v>
      </c>
      <c r="G8" s="16" t="s">
        <v>801</v>
      </c>
      <c r="H8" s="19">
        <v>78400</v>
      </c>
      <c r="I8" s="19">
        <v>29.08</v>
      </c>
      <c r="J8" s="20">
        <v>-2.72</v>
      </c>
      <c r="K8" s="15"/>
      <c r="P8" s="15"/>
      <c r="Q8" s="16" t="s">
        <v>800</v>
      </c>
      <c r="R8" s="20">
        <v>-2.72</v>
      </c>
      <c r="S8" s="15"/>
      <c r="T8" s="16" t="s">
        <v>172</v>
      </c>
      <c r="U8" s="20">
        <v>4.33</v>
      </c>
    </row>
    <row r="9" spans="1:23" ht="15.75" customHeight="1">
      <c r="A9" s="16" t="s">
        <v>413</v>
      </c>
      <c r="B9" s="17" t="s">
        <v>414</v>
      </c>
      <c r="C9" s="18">
        <v>680000</v>
      </c>
      <c r="D9" s="18">
        <v>21.46</v>
      </c>
      <c r="E9" s="13"/>
      <c r="F9" s="16" t="s">
        <v>413</v>
      </c>
      <c r="G9" s="16" t="s">
        <v>414</v>
      </c>
      <c r="H9" s="19">
        <v>340000</v>
      </c>
      <c r="I9" s="19">
        <v>19.38</v>
      </c>
      <c r="J9" s="20">
        <v>-2.08</v>
      </c>
      <c r="K9" s="15"/>
      <c r="P9" s="15"/>
      <c r="Q9" s="16" t="s">
        <v>413</v>
      </c>
      <c r="R9" s="20">
        <v>-2.08</v>
      </c>
      <c r="S9" s="15"/>
      <c r="T9" s="16" t="s">
        <v>74</v>
      </c>
      <c r="U9" s="20">
        <v>6.81</v>
      </c>
    </row>
    <row r="10" spans="1:23" ht="15.75" customHeight="1">
      <c r="A10" s="16" t="s">
        <v>714</v>
      </c>
      <c r="B10" s="17" t="s">
        <v>715</v>
      </c>
      <c r="C10" s="18">
        <v>108000</v>
      </c>
      <c r="D10" s="18">
        <v>317.67</v>
      </c>
      <c r="E10" s="13"/>
      <c r="F10" s="16" t="s">
        <v>714</v>
      </c>
      <c r="G10" s="16" t="s">
        <v>715</v>
      </c>
      <c r="H10" s="19">
        <v>134400</v>
      </c>
      <c r="I10" s="19">
        <v>315.92</v>
      </c>
      <c r="J10" s="20">
        <v>-1.75</v>
      </c>
      <c r="K10" s="15"/>
      <c r="P10" s="15"/>
      <c r="Q10" s="16" t="s">
        <v>714</v>
      </c>
      <c r="R10" s="20">
        <v>-1.75</v>
      </c>
      <c r="S10" s="15"/>
      <c r="T10" s="16" t="s">
        <v>429</v>
      </c>
      <c r="U10" s="20">
        <v>10.61</v>
      </c>
    </row>
    <row r="11" spans="1:23" ht="15.75" customHeight="1">
      <c r="A11" s="16" t="s">
        <v>866</v>
      </c>
      <c r="B11" s="17" t="s">
        <v>867</v>
      </c>
      <c r="C11" s="18">
        <v>88000</v>
      </c>
      <c r="D11" s="18">
        <v>51.95</v>
      </c>
      <c r="E11" s="13"/>
      <c r="F11" s="16" t="s">
        <v>866</v>
      </c>
      <c r="G11" s="16" t="s">
        <v>867</v>
      </c>
      <c r="H11" s="19">
        <v>86000</v>
      </c>
      <c r="I11" s="19">
        <v>50.3</v>
      </c>
      <c r="J11" s="20">
        <v>-1.65</v>
      </c>
      <c r="K11" s="15"/>
      <c r="P11" s="15"/>
      <c r="Q11" s="15"/>
      <c r="R11" s="15"/>
      <c r="S11" s="15"/>
      <c r="T11" s="15"/>
      <c r="U11" s="15"/>
    </row>
    <row r="12" spans="1:23" ht="15.75" customHeight="1">
      <c r="A12" s="16" t="s">
        <v>445</v>
      </c>
      <c r="B12" s="17" t="s">
        <v>446</v>
      </c>
      <c r="C12" s="18">
        <v>288000</v>
      </c>
      <c r="D12" s="18">
        <v>135.74</v>
      </c>
      <c r="E12" s="13"/>
      <c r="F12" s="16" t="s">
        <v>445</v>
      </c>
      <c r="G12" s="16" t="s">
        <v>446</v>
      </c>
      <c r="H12" s="19">
        <v>73000</v>
      </c>
      <c r="I12" s="19">
        <v>134.76</v>
      </c>
      <c r="J12" s="20">
        <v>-0.98</v>
      </c>
      <c r="K12" s="15"/>
      <c r="P12" s="15"/>
      <c r="Q12" s="15"/>
      <c r="R12" s="15"/>
      <c r="S12" s="15"/>
      <c r="T12" s="15"/>
      <c r="U12" s="15"/>
    </row>
    <row r="13" spans="1:23" ht="15.75" customHeight="1">
      <c r="A13" s="16" t="s">
        <v>860</v>
      </c>
      <c r="B13" s="17" t="s">
        <v>861</v>
      </c>
      <c r="C13" s="18">
        <v>562000</v>
      </c>
      <c r="D13" s="18">
        <v>29.01</v>
      </c>
      <c r="E13" s="13"/>
      <c r="F13" s="16" t="s">
        <v>860</v>
      </c>
      <c r="G13" s="16" t="s">
        <v>861</v>
      </c>
      <c r="H13" s="19">
        <v>164000</v>
      </c>
      <c r="I13" s="19">
        <v>28.11</v>
      </c>
      <c r="J13" s="20">
        <v>-0.9</v>
      </c>
      <c r="K13" s="15"/>
      <c r="P13" s="15"/>
      <c r="Q13" s="15"/>
      <c r="R13" s="15"/>
      <c r="S13" s="15"/>
      <c r="T13" s="15"/>
      <c r="U13" s="15"/>
    </row>
    <row r="14" spans="1:23" ht="15.75" customHeight="1">
      <c r="A14" s="16" t="s">
        <v>473</v>
      </c>
      <c r="B14" s="17" t="s">
        <v>474</v>
      </c>
      <c r="C14" s="18">
        <v>51600</v>
      </c>
      <c r="D14" s="18">
        <v>84.22</v>
      </c>
      <c r="E14" s="13"/>
      <c r="F14" s="16" t="s">
        <v>473</v>
      </c>
      <c r="G14" s="16" t="s">
        <v>474</v>
      </c>
      <c r="H14" s="19">
        <v>57600</v>
      </c>
      <c r="I14" s="19">
        <v>83.39</v>
      </c>
      <c r="J14" s="20">
        <v>-0.83</v>
      </c>
      <c r="K14" s="15"/>
      <c r="P14" s="15"/>
      <c r="Q14" s="15"/>
      <c r="R14" s="15"/>
      <c r="S14" s="15"/>
      <c r="T14" s="15"/>
      <c r="U14" s="15"/>
    </row>
    <row r="15" spans="1:23" ht="15.75" customHeight="1">
      <c r="A15" s="16" t="s">
        <v>511</v>
      </c>
      <c r="B15" s="17" t="s">
        <v>512</v>
      </c>
      <c r="C15" s="18">
        <v>133600</v>
      </c>
      <c r="D15" s="18">
        <v>172.25</v>
      </c>
      <c r="E15" s="13"/>
      <c r="F15" s="16" t="s">
        <v>511</v>
      </c>
      <c r="G15" s="16" t="s">
        <v>512</v>
      </c>
      <c r="H15" s="19">
        <v>142400</v>
      </c>
      <c r="I15" s="19">
        <v>171.65</v>
      </c>
      <c r="J15" s="20">
        <v>-0.6</v>
      </c>
      <c r="K15" s="15"/>
      <c r="P15" s="15"/>
      <c r="Q15" s="15"/>
      <c r="R15" s="15"/>
      <c r="S15" s="15"/>
      <c r="T15" s="15"/>
      <c r="U15" s="15"/>
    </row>
    <row r="16" spans="1:23" ht="15.75" customHeight="1">
      <c r="A16" s="16" t="s">
        <v>309</v>
      </c>
      <c r="B16" s="17" t="s">
        <v>310</v>
      </c>
      <c r="C16" s="18">
        <v>147000</v>
      </c>
      <c r="D16" s="18">
        <v>44.49</v>
      </c>
      <c r="E16" s="13"/>
      <c r="F16" s="16" t="s">
        <v>309</v>
      </c>
      <c r="G16" s="16" t="s">
        <v>310</v>
      </c>
      <c r="H16" s="19">
        <v>159000</v>
      </c>
      <c r="I16" s="19">
        <v>43.92</v>
      </c>
      <c r="J16" s="20">
        <v>-0.56999999999999995</v>
      </c>
      <c r="K16" s="15"/>
      <c r="P16" s="15"/>
      <c r="Q16" s="15"/>
      <c r="R16" s="15"/>
      <c r="S16" s="15"/>
      <c r="T16" s="15"/>
      <c r="U16" s="15"/>
    </row>
    <row r="17" spans="1:21" ht="15.75" customHeight="1">
      <c r="A17" s="16" t="s">
        <v>76</v>
      </c>
      <c r="B17" s="17" t="s">
        <v>77</v>
      </c>
      <c r="C17" s="18">
        <v>130000</v>
      </c>
      <c r="D17" s="18">
        <v>21.24</v>
      </c>
      <c r="E17" s="13"/>
      <c r="F17" s="16" t="s">
        <v>76</v>
      </c>
      <c r="G17" s="16" t="s">
        <v>77</v>
      </c>
      <c r="H17" s="19">
        <v>165000</v>
      </c>
      <c r="I17" s="19">
        <v>20.68</v>
      </c>
      <c r="J17" s="20">
        <v>-0.56000000000000005</v>
      </c>
      <c r="K17" s="15"/>
    </row>
    <row r="18" spans="1:21" ht="15.75" customHeight="1">
      <c r="A18" s="16" t="s">
        <v>255</v>
      </c>
      <c r="B18" s="17" t="s">
        <v>256</v>
      </c>
      <c r="C18" s="18">
        <v>210000</v>
      </c>
      <c r="D18" s="18">
        <v>13.16</v>
      </c>
      <c r="E18" s="13"/>
      <c r="F18" s="16" t="s">
        <v>255</v>
      </c>
      <c r="G18" s="16" t="s">
        <v>256</v>
      </c>
      <c r="H18" s="19">
        <v>50000</v>
      </c>
      <c r="I18" s="19">
        <v>12.77</v>
      </c>
      <c r="J18" s="20">
        <v>-0.39</v>
      </c>
      <c r="K18" s="15"/>
    </row>
    <row r="19" spans="1:21" ht="15.75" customHeight="1">
      <c r="A19" s="16" t="s">
        <v>321</v>
      </c>
      <c r="B19" s="17" t="s">
        <v>322</v>
      </c>
      <c r="C19" s="18">
        <v>85200</v>
      </c>
      <c r="D19" s="18">
        <v>47.69</v>
      </c>
      <c r="E19" s="13"/>
      <c r="F19" s="16" t="s">
        <v>321</v>
      </c>
      <c r="G19" s="16" t="s">
        <v>322</v>
      </c>
      <c r="H19" s="19">
        <v>103200</v>
      </c>
      <c r="I19" s="19">
        <v>47.4</v>
      </c>
      <c r="J19" s="20">
        <v>-0.28999999999999998</v>
      </c>
      <c r="K19" s="15"/>
    </row>
    <row r="20" spans="1:21" ht="15.75" customHeight="1">
      <c r="A20" s="16" t="s">
        <v>158</v>
      </c>
      <c r="B20" s="17" t="s">
        <v>159</v>
      </c>
      <c r="C20" s="18">
        <v>369000</v>
      </c>
      <c r="D20" s="18">
        <v>27.59</v>
      </c>
      <c r="E20" s="13"/>
      <c r="F20" s="16" t="s">
        <v>158</v>
      </c>
      <c r="G20" s="16" t="s">
        <v>159</v>
      </c>
      <c r="H20" s="19">
        <v>237000</v>
      </c>
      <c r="I20" s="19">
        <v>27.32</v>
      </c>
      <c r="J20" s="20">
        <v>-0.27</v>
      </c>
      <c r="K20" s="15"/>
      <c r="U20" s="15"/>
    </row>
    <row r="21" spans="1:21" ht="15.75" customHeight="1">
      <c r="A21" s="16" t="s">
        <v>694</v>
      </c>
      <c r="B21" s="17" t="s">
        <v>695</v>
      </c>
      <c r="C21" s="18">
        <v>152000</v>
      </c>
      <c r="D21" s="18">
        <v>249.14</v>
      </c>
      <c r="E21" s="13"/>
      <c r="F21" s="16" t="s">
        <v>694</v>
      </c>
      <c r="G21" s="16" t="s">
        <v>695</v>
      </c>
      <c r="H21" s="19">
        <v>125600</v>
      </c>
      <c r="I21" s="19">
        <v>249.08</v>
      </c>
      <c r="J21" s="20">
        <v>-0.06</v>
      </c>
      <c r="K21" s="15"/>
    </row>
    <row r="22" spans="1:21" ht="15.75" customHeight="1">
      <c r="A22" s="16" t="s">
        <v>373</v>
      </c>
      <c r="B22" s="17" t="s">
        <v>374</v>
      </c>
      <c r="C22" s="18">
        <v>192000</v>
      </c>
      <c r="D22" s="18">
        <v>0.68</v>
      </c>
      <c r="E22" s="13"/>
      <c r="F22" s="16" t="s">
        <v>373</v>
      </c>
      <c r="G22" s="16" t="s">
        <v>374</v>
      </c>
      <c r="H22" s="19">
        <v>48000</v>
      </c>
      <c r="I22" s="19">
        <v>0.65</v>
      </c>
      <c r="J22" s="20">
        <v>-0.03</v>
      </c>
      <c r="K22" s="15"/>
    </row>
    <row r="23" spans="1:21" ht="15">
      <c r="A23" s="16" t="s">
        <v>894</v>
      </c>
      <c r="B23" s="17" t="s">
        <v>895</v>
      </c>
      <c r="C23" s="18">
        <v>603000</v>
      </c>
      <c r="D23" s="18">
        <v>22.07</v>
      </c>
      <c r="E23" s="13"/>
      <c r="F23" s="16" t="s">
        <v>894</v>
      </c>
      <c r="G23" s="16" t="s">
        <v>895</v>
      </c>
      <c r="H23" s="19">
        <v>363000</v>
      </c>
      <c r="I23" s="19">
        <v>22.82</v>
      </c>
      <c r="J23" s="20">
        <v>0.75</v>
      </c>
      <c r="K23" s="15"/>
    </row>
    <row r="24" spans="1:21" ht="15">
      <c r="A24" s="16" t="s">
        <v>902</v>
      </c>
      <c r="B24" s="17" t="s">
        <v>903</v>
      </c>
      <c r="C24" s="18">
        <v>116000</v>
      </c>
      <c r="D24" s="18">
        <v>32.729999999999997</v>
      </c>
      <c r="E24" s="13"/>
      <c r="F24" s="16" t="s">
        <v>902</v>
      </c>
      <c r="G24" s="16" t="s">
        <v>903</v>
      </c>
      <c r="H24" s="19">
        <v>80000</v>
      </c>
      <c r="I24" s="19">
        <v>34.590000000000003</v>
      </c>
      <c r="J24" s="20">
        <v>1.86</v>
      </c>
      <c r="K24" s="15"/>
    </row>
    <row r="25" spans="1:21" ht="15">
      <c r="A25" s="16" t="s">
        <v>848</v>
      </c>
      <c r="B25" s="17" t="s">
        <v>849</v>
      </c>
      <c r="C25" s="18">
        <v>200000</v>
      </c>
      <c r="D25" s="18">
        <v>144.66999999999999</v>
      </c>
      <c r="E25" s="13"/>
      <c r="F25" s="16" t="s">
        <v>848</v>
      </c>
      <c r="G25" s="16" t="s">
        <v>849</v>
      </c>
      <c r="H25" s="19">
        <v>100000</v>
      </c>
      <c r="I25" s="19">
        <v>146.65</v>
      </c>
      <c r="J25" s="20">
        <v>1.98</v>
      </c>
      <c r="K25" s="15"/>
    </row>
    <row r="26" spans="1:21" ht="15">
      <c r="A26" s="16" t="s">
        <v>638</v>
      </c>
      <c r="B26" s="17" t="s">
        <v>639</v>
      </c>
      <c r="C26" s="18">
        <v>66000</v>
      </c>
      <c r="D26" s="18">
        <v>21.3</v>
      </c>
      <c r="E26" s="13"/>
      <c r="F26" s="16" t="s">
        <v>638</v>
      </c>
      <c r="G26" s="16" t="s">
        <v>639</v>
      </c>
      <c r="H26" s="19">
        <v>69000</v>
      </c>
      <c r="I26" s="19">
        <v>24.48</v>
      </c>
      <c r="J26" s="20">
        <v>3.18</v>
      </c>
      <c r="K26" s="15"/>
    </row>
    <row r="27" spans="1:21" ht="15">
      <c r="A27" s="16" t="s">
        <v>98</v>
      </c>
      <c r="B27" s="17" t="s">
        <v>99</v>
      </c>
      <c r="C27" s="18">
        <v>106000</v>
      </c>
      <c r="D27" s="18">
        <v>136.31</v>
      </c>
      <c r="E27" s="13"/>
      <c r="F27" s="16" t="s">
        <v>98</v>
      </c>
      <c r="G27" s="16" t="s">
        <v>99</v>
      </c>
      <c r="H27" s="19">
        <v>162000</v>
      </c>
      <c r="I27" s="19">
        <v>139.56</v>
      </c>
      <c r="J27" s="20">
        <v>3.25</v>
      </c>
      <c r="K27" s="15"/>
    </row>
    <row r="28" spans="1:21" ht="15">
      <c r="A28" s="16" t="s">
        <v>545</v>
      </c>
      <c r="B28" s="17" t="s">
        <v>546</v>
      </c>
      <c r="C28" s="18">
        <v>60675</v>
      </c>
      <c r="D28" s="18">
        <v>1555.21</v>
      </c>
      <c r="E28" s="13"/>
      <c r="F28" s="16" t="s">
        <v>545</v>
      </c>
      <c r="G28" s="16" t="s">
        <v>546</v>
      </c>
      <c r="H28" s="19">
        <v>51750</v>
      </c>
      <c r="I28" s="19">
        <v>1558.51</v>
      </c>
      <c r="J28" s="20">
        <v>3.3</v>
      </c>
      <c r="K28" s="15"/>
    </row>
    <row r="29" spans="1:21" ht="15">
      <c r="A29" s="16" t="s">
        <v>172</v>
      </c>
      <c r="B29" s="17" t="s">
        <v>173</v>
      </c>
      <c r="C29" s="18">
        <v>317000</v>
      </c>
      <c r="D29" s="18">
        <v>144.16</v>
      </c>
      <c r="E29" s="13"/>
      <c r="F29" s="16" t="s">
        <v>172</v>
      </c>
      <c r="G29" s="16" t="s">
        <v>173</v>
      </c>
      <c r="H29" s="19">
        <v>854000</v>
      </c>
      <c r="I29" s="19">
        <v>148.49</v>
      </c>
      <c r="J29" s="20">
        <v>4.33</v>
      </c>
      <c r="K29" s="15"/>
    </row>
    <row r="30" spans="1:21" ht="16.5">
      <c r="A30" s="16" t="s">
        <v>74</v>
      </c>
      <c r="B30" s="17" t="s">
        <v>75</v>
      </c>
      <c r="C30" s="18">
        <v>593750</v>
      </c>
      <c r="D30" s="18">
        <v>190.32</v>
      </c>
      <c r="E30" s="13"/>
      <c r="F30" s="16" t="s">
        <v>74</v>
      </c>
      <c r="G30" s="16" t="s">
        <v>75</v>
      </c>
      <c r="H30" s="19">
        <v>312750</v>
      </c>
      <c r="I30" s="19">
        <v>197.13</v>
      </c>
      <c r="J30" s="20">
        <v>6.81</v>
      </c>
      <c r="L30" s="29" t="s">
        <v>1000</v>
      </c>
      <c r="M30" s="42"/>
      <c r="N30" s="43"/>
      <c r="O30" s="1"/>
      <c r="P30" s="2"/>
      <c r="Q30" s="2"/>
      <c r="R30" s="2"/>
    </row>
    <row r="31" spans="1:21">
      <c r="A31" s="16" t="s">
        <v>429</v>
      </c>
      <c r="B31" s="17" t="s">
        <v>430</v>
      </c>
      <c r="C31" s="18">
        <v>3156000</v>
      </c>
      <c r="D31" s="18">
        <v>166.73</v>
      </c>
      <c r="E31" s="13"/>
      <c r="F31" s="16" t="s">
        <v>429</v>
      </c>
      <c r="G31" s="16" t="s">
        <v>430</v>
      </c>
      <c r="H31" s="19">
        <v>393000</v>
      </c>
      <c r="I31" s="19">
        <v>177.34</v>
      </c>
      <c r="J31" s="20">
        <v>10.61</v>
      </c>
      <c r="K31" s="21" t="s">
        <v>1001</v>
      </c>
      <c r="L31" s="21"/>
      <c r="M31" s="21"/>
      <c r="N31" s="21"/>
      <c r="O31" s="21"/>
      <c r="P31" s="21"/>
      <c r="Q31" s="21"/>
      <c r="R31" s="21"/>
      <c r="S31" s="22"/>
    </row>
    <row r="32" spans="1:21">
      <c r="K32" s="44"/>
      <c r="L32" s="42"/>
      <c r="M32" s="42"/>
      <c r="N32" s="42"/>
      <c r="O32" s="42"/>
      <c r="P32" s="42"/>
      <c r="Q32" s="42"/>
      <c r="R32" s="43"/>
      <c r="S32" s="22"/>
    </row>
    <row r="33" spans="1:19">
      <c r="A33" s="30" t="s">
        <v>1002</v>
      </c>
      <c r="B33" s="34"/>
      <c r="C33" s="34"/>
      <c r="D33" s="34"/>
      <c r="E33" s="34"/>
      <c r="F33" s="34"/>
      <c r="G33" s="34"/>
      <c r="H33" s="35"/>
      <c r="K33" s="23" t="s">
        <v>1003</v>
      </c>
      <c r="L33" s="24"/>
      <c r="M33" s="24"/>
      <c r="N33" s="24"/>
      <c r="O33" s="24"/>
      <c r="P33" s="24"/>
      <c r="Q33" s="24"/>
      <c r="R33" s="25"/>
      <c r="S33" s="22"/>
    </row>
    <row r="34" spans="1:19">
      <c r="A34" s="36"/>
      <c r="B34" s="37"/>
      <c r="C34" s="37"/>
      <c r="D34" s="37"/>
      <c r="E34" s="37"/>
      <c r="F34" s="37"/>
      <c r="G34" s="37"/>
      <c r="H34" s="38"/>
      <c r="K34" s="31" t="s">
        <v>1004</v>
      </c>
      <c r="L34" s="34"/>
      <c r="M34" s="34"/>
      <c r="N34" s="34"/>
      <c r="O34" s="34"/>
      <c r="P34" s="34"/>
      <c r="Q34" s="34"/>
      <c r="R34" s="35"/>
      <c r="S34" s="22"/>
    </row>
    <row r="35" spans="1:19">
      <c r="A35" s="44" t="s">
        <v>1005</v>
      </c>
      <c r="B35" s="42"/>
      <c r="C35" s="42"/>
      <c r="D35" s="42"/>
      <c r="E35" s="42"/>
      <c r="F35" s="42"/>
      <c r="G35" s="42"/>
      <c r="H35" s="43"/>
      <c r="K35" s="45"/>
      <c r="L35" s="40"/>
      <c r="M35" s="40"/>
      <c r="N35" s="40"/>
      <c r="O35" s="40"/>
      <c r="P35" s="40"/>
      <c r="Q35" s="40"/>
      <c r="R35" s="46"/>
      <c r="S35" s="22"/>
    </row>
    <row r="36" spans="1:19">
      <c r="A36" s="47" t="s">
        <v>1006</v>
      </c>
      <c r="B36" s="34"/>
      <c r="C36" s="34"/>
      <c r="D36" s="34"/>
      <c r="E36" s="34"/>
      <c r="F36" s="34"/>
      <c r="G36" s="34"/>
      <c r="H36" s="35"/>
      <c r="K36" s="45"/>
      <c r="L36" s="40"/>
      <c r="M36" s="40"/>
      <c r="N36" s="40"/>
      <c r="O36" s="40"/>
      <c r="P36" s="40"/>
      <c r="Q36" s="40"/>
      <c r="R36" s="46"/>
      <c r="S36" s="22"/>
    </row>
    <row r="37" spans="1:19">
      <c r="A37" s="36"/>
      <c r="B37" s="37"/>
      <c r="C37" s="37"/>
      <c r="D37" s="37"/>
      <c r="E37" s="37"/>
      <c r="F37" s="37"/>
      <c r="G37" s="37"/>
      <c r="H37" s="38"/>
      <c r="K37" s="45"/>
      <c r="L37" s="40"/>
      <c r="M37" s="40"/>
      <c r="N37" s="40"/>
      <c r="O37" s="40"/>
      <c r="P37" s="40"/>
      <c r="Q37" s="40"/>
      <c r="R37" s="46"/>
      <c r="S37" s="22"/>
    </row>
    <row r="38" spans="1:19">
      <c r="A38" s="47" t="s">
        <v>1007</v>
      </c>
      <c r="B38" s="34"/>
      <c r="C38" s="34"/>
      <c r="D38" s="34"/>
      <c r="E38" s="34"/>
      <c r="F38" s="34"/>
      <c r="G38" s="34"/>
      <c r="H38" s="35"/>
      <c r="K38" s="45"/>
      <c r="L38" s="40"/>
      <c r="M38" s="40"/>
      <c r="N38" s="40"/>
      <c r="O38" s="40"/>
      <c r="P38" s="40"/>
      <c r="Q38" s="40"/>
      <c r="R38" s="46"/>
      <c r="S38" s="22"/>
    </row>
    <row r="39" spans="1:19">
      <c r="A39" s="45"/>
      <c r="B39" s="40"/>
      <c r="C39" s="40"/>
      <c r="D39" s="40"/>
      <c r="E39" s="40"/>
      <c r="F39" s="40"/>
      <c r="G39" s="40"/>
      <c r="H39" s="46"/>
      <c r="K39" s="45"/>
      <c r="L39" s="40"/>
      <c r="M39" s="40"/>
      <c r="N39" s="40"/>
      <c r="O39" s="40"/>
      <c r="P39" s="40"/>
      <c r="Q39" s="40"/>
      <c r="R39" s="46"/>
      <c r="S39" s="22"/>
    </row>
    <row r="40" spans="1:19">
      <c r="A40" s="36"/>
      <c r="B40" s="37"/>
      <c r="C40" s="37"/>
      <c r="D40" s="37"/>
      <c r="E40" s="37"/>
      <c r="F40" s="37"/>
      <c r="G40" s="37"/>
      <c r="H40" s="38"/>
      <c r="K40" s="45"/>
      <c r="L40" s="40"/>
      <c r="M40" s="40"/>
      <c r="N40" s="40"/>
      <c r="O40" s="40"/>
      <c r="P40" s="40"/>
      <c r="Q40" s="40"/>
      <c r="R40" s="46"/>
      <c r="S40" s="22"/>
    </row>
    <row r="41" spans="1:19">
      <c r="A41" s="44" t="s">
        <v>1008</v>
      </c>
      <c r="B41" s="42"/>
      <c r="C41" s="42"/>
      <c r="D41" s="42"/>
      <c r="E41" s="42"/>
      <c r="F41" s="42"/>
      <c r="G41" s="42"/>
      <c r="H41" s="43"/>
      <c r="K41" s="36"/>
      <c r="L41" s="37"/>
      <c r="M41" s="37"/>
      <c r="N41" s="37"/>
      <c r="O41" s="37"/>
      <c r="P41" s="37"/>
      <c r="Q41" s="37"/>
      <c r="R41" s="38"/>
      <c r="S41" s="22"/>
    </row>
    <row r="42" spans="1:19">
      <c r="A42" s="44" t="s">
        <v>1009</v>
      </c>
      <c r="B42" s="42"/>
      <c r="C42" s="42"/>
      <c r="D42" s="42"/>
      <c r="E42" s="42"/>
      <c r="F42" s="42"/>
      <c r="G42" s="42"/>
      <c r="H42" s="43"/>
    </row>
    <row r="43" spans="1:19">
      <c r="A43" s="44" t="s">
        <v>1010</v>
      </c>
      <c r="B43" s="42"/>
      <c r="C43" s="42"/>
      <c r="D43" s="42"/>
      <c r="E43" s="42"/>
      <c r="F43" s="42"/>
      <c r="G43" s="42"/>
      <c r="H43" s="43"/>
      <c r="K43" s="44" t="s">
        <v>1011</v>
      </c>
      <c r="L43" s="42"/>
      <c r="M43" s="42"/>
      <c r="N43" s="42"/>
      <c r="O43" s="42"/>
      <c r="P43" s="42"/>
      <c r="Q43" s="42"/>
      <c r="R43" s="43"/>
    </row>
    <row r="44" spans="1:19">
      <c r="A44" s="44" t="s">
        <v>1012</v>
      </c>
      <c r="B44" s="42"/>
      <c r="C44" s="42"/>
      <c r="D44" s="42"/>
      <c r="E44" s="42"/>
      <c r="F44" s="42"/>
      <c r="G44" s="42"/>
      <c r="H44" s="43"/>
    </row>
    <row r="45" spans="1:19">
      <c r="A45" s="44" t="s">
        <v>1013</v>
      </c>
      <c r="B45" s="42"/>
      <c r="C45" s="42"/>
      <c r="D45" s="42"/>
      <c r="E45" s="42"/>
      <c r="F45" s="42"/>
      <c r="G45" s="42"/>
      <c r="H45" s="43"/>
    </row>
    <row r="46" spans="1:19" ht="12.75">
      <c r="A46" s="47" t="s">
        <v>1014</v>
      </c>
      <c r="B46" s="34"/>
      <c r="C46" s="34"/>
      <c r="D46" s="34"/>
      <c r="E46" s="34"/>
      <c r="F46" s="34"/>
      <c r="G46" s="34"/>
      <c r="H46" s="35"/>
    </row>
    <row r="47" spans="1:19" ht="12.75">
      <c r="A47" s="36"/>
      <c r="B47" s="37"/>
      <c r="C47" s="37"/>
      <c r="D47" s="37"/>
      <c r="E47" s="37"/>
      <c r="F47" s="37"/>
      <c r="G47" s="37"/>
      <c r="H47" s="38"/>
    </row>
    <row r="48" spans="1:19">
      <c r="A48" s="44" t="s">
        <v>1015</v>
      </c>
      <c r="B48" s="42"/>
      <c r="C48" s="42"/>
      <c r="D48" s="42"/>
      <c r="E48" s="42"/>
      <c r="F48" s="42"/>
      <c r="G48" s="42"/>
      <c r="H48" s="43"/>
    </row>
    <row r="49" spans="1:8">
      <c r="A49" s="44" t="s">
        <v>1016</v>
      </c>
      <c r="B49" s="42"/>
      <c r="C49" s="42"/>
      <c r="D49" s="42"/>
      <c r="E49" s="42"/>
      <c r="F49" s="42"/>
      <c r="G49" s="42"/>
      <c r="H49" s="43"/>
    </row>
    <row r="50" spans="1:8">
      <c r="A50" s="44" t="s">
        <v>1017</v>
      </c>
      <c r="B50" s="42"/>
      <c r="C50" s="42"/>
      <c r="D50" s="42"/>
      <c r="E50" s="42"/>
      <c r="F50" s="42"/>
      <c r="G50" s="42"/>
      <c r="H50" s="43"/>
    </row>
    <row r="52" spans="1:8" ht="12.75">
      <c r="A52" s="31" t="s">
        <v>1018</v>
      </c>
      <c r="B52" s="34"/>
      <c r="C52" s="35"/>
    </row>
    <row r="53" spans="1:8" ht="12.75">
      <c r="A53" s="36"/>
      <c r="B53" s="37"/>
      <c r="C53" s="38"/>
    </row>
  </sheetData>
  <mergeCells count="20">
    <mergeCell ref="A49:H49"/>
    <mergeCell ref="A50:H50"/>
    <mergeCell ref="A52:C53"/>
    <mergeCell ref="A38:H40"/>
    <mergeCell ref="A41:H41"/>
    <mergeCell ref="A42:H42"/>
    <mergeCell ref="A43:H43"/>
    <mergeCell ref="A44:H44"/>
    <mergeCell ref="A45:H45"/>
    <mergeCell ref="A46:H47"/>
    <mergeCell ref="A33:H34"/>
    <mergeCell ref="K34:R41"/>
    <mergeCell ref="A35:H35"/>
    <mergeCell ref="A36:H37"/>
    <mergeCell ref="A48:H48"/>
    <mergeCell ref="K43:R43"/>
    <mergeCell ref="K32:R32"/>
    <mergeCell ref="L30:N30"/>
    <mergeCell ref="Q1:R1"/>
    <mergeCell ref="T1:U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H42"/>
  <sheetViews>
    <sheetView tabSelected="1" topLeftCell="A30" workbookViewId="0">
      <selection activeCell="H45" sqref="H45"/>
    </sheetView>
  </sheetViews>
  <sheetFormatPr defaultColWidth="12.5703125" defaultRowHeight="15.75" customHeight="1"/>
  <sheetData>
    <row r="2" spans="1:8" ht="12.75">
      <c r="A2" s="33" t="s">
        <v>1019</v>
      </c>
      <c r="B2" s="34"/>
      <c r="C2" s="34"/>
      <c r="D2" s="34"/>
      <c r="E2" s="34"/>
      <c r="F2" s="34"/>
      <c r="G2" s="34"/>
      <c r="H2" s="35"/>
    </row>
    <row r="3" spans="1:8">
      <c r="A3" s="45"/>
      <c r="B3" s="40"/>
      <c r="C3" s="40"/>
      <c r="D3" s="40"/>
      <c r="E3" s="40"/>
      <c r="F3" s="40"/>
      <c r="G3" s="40"/>
      <c r="H3" s="46"/>
    </row>
    <row r="4" spans="1:8">
      <c r="A4" s="45"/>
      <c r="B4" s="40"/>
      <c r="C4" s="40"/>
      <c r="D4" s="40"/>
      <c r="E4" s="40"/>
      <c r="F4" s="40"/>
      <c r="G4" s="40"/>
      <c r="H4" s="46"/>
    </row>
    <row r="5" spans="1:8">
      <c r="A5" s="45"/>
      <c r="B5" s="40"/>
      <c r="C5" s="40"/>
      <c r="D5" s="40"/>
      <c r="E5" s="40"/>
      <c r="F5" s="40"/>
      <c r="G5" s="40"/>
      <c r="H5" s="46"/>
    </row>
    <row r="6" spans="1:8">
      <c r="A6" s="45"/>
      <c r="B6" s="40"/>
      <c r="C6" s="40"/>
      <c r="D6" s="40"/>
      <c r="E6" s="40"/>
      <c r="F6" s="40"/>
      <c r="G6" s="40"/>
      <c r="H6" s="46"/>
    </row>
    <row r="7" spans="1:8">
      <c r="A7" s="45"/>
      <c r="B7" s="40"/>
      <c r="C7" s="40"/>
      <c r="D7" s="40"/>
      <c r="E7" s="40"/>
      <c r="F7" s="40"/>
      <c r="G7" s="40"/>
      <c r="H7" s="46"/>
    </row>
    <row r="8" spans="1:8">
      <c r="A8" s="45"/>
      <c r="B8" s="40"/>
      <c r="C8" s="40"/>
      <c r="D8" s="40"/>
      <c r="E8" s="40"/>
      <c r="F8" s="40"/>
      <c r="G8" s="40"/>
      <c r="H8" s="46"/>
    </row>
    <row r="9" spans="1:8">
      <c r="A9" s="45"/>
      <c r="B9" s="40"/>
      <c r="C9" s="40"/>
      <c r="D9" s="40"/>
      <c r="E9" s="40"/>
      <c r="F9" s="40"/>
      <c r="G9" s="40"/>
      <c r="H9" s="46"/>
    </row>
    <row r="10" spans="1:8">
      <c r="A10" s="45"/>
      <c r="B10" s="40"/>
      <c r="C10" s="40"/>
      <c r="D10" s="40"/>
      <c r="E10" s="40"/>
      <c r="F10" s="40"/>
      <c r="G10" s="40"/>
      <c r="H10" s="46"/>
    </row>
    <row r="11" spans="1:8">
      <c r="A11" s="45"/>
      <c r="B11" s="40"/>
      <c r="C11" s="40"/>
      <c r="D11" s="40"/>
      <c r="E11" s="40"/>
      <c r="F11" s="40"/>
      <c r="G11" s="40"/>
      <c r="H11" s="46"/>
    </row>
    <row r="12" spans="1:8">
      <c r="A12" s="45"/>
      <c r="B12" s="40"/>
      <c r="C12" s="40"/>
      <c r="D12" s="40"/>
      <c r="E12" s="40"/>
      <c r="F12" s="40"/>
      <c r="G12" s="40"/>
      <c r="H12" s="46"/>
    </row>
    <row r="13" spans="1:8">
      <c r="A13" s="45"/>
      <c r="B13" s="40"/>
      <c r="C13" s="40"/>
      <c r="D13" s="40"/>
      <c r="E13" s="40"/>
      <c r="F13" s="40"/>
      <c r="G13" s="40"/>
      <c r="H13" s="46"/>
    </row>
    <row r="14" spans="1:8">
      <c r="A14" s="36"/>
      <c r="B14" s="37"/>
      <c r="C14" s="37"/>
      <c r="D14" s="37"/>
      <c r="E14" s="37"/>
      <c r="F14" s="37"/>
      <c r="G14" s="37"/>
      <c r="H14" s="38"/>
    </row>
    <row r="16" spans="1:8" ht="12.75">
      <c r="A16" s="32" t="s">
        <v>1020</v>
      </c>
      <c r="B16" s="34"/>
      <c r="C16" s="34"/>
      <c r="D16" s="34"/>
      <c r="E16" s="34"/>
      <c r="F16" s="34"/>
      <c r="G16" s="34"/>
      <c r="H16" s="35"/>
    </row>
    <row r="17" spans="1:8">
      <c r="A17" s="45"/>
      <c r="B17" s="40"/>
      <c r="C17" s="40"/>
      <c r="D17" s="40"/>
      <c r="E17" s="40"/>
      <c r="F17" s="40"/>
      <c r="G17" s="40"/>
      <c r="H17" s="46"/>
    </row>
    <row r="18" spans="1:8">
      <c r="A18" s="45"/>
      <c r="B18" s="40"/>
      <c r="C18" s="40"/>
      <c r="D18" s="40"/>
      <c r="E18" s="40"/>
      <c r="F18" s="40"/>
      <c r="G18" s="40"/>
      <c r="H18" s="46"/>
    </row>
    <row r="19" spans="1:8">
      <c r="A19" s="45"/>
      <c r="B19" s="40"/>
      <c r="C19" s="40"/>
      <c r="D19" s="40"/>
      <c r="E19" s="40"/>
      <c r="F19" s="40"/>
      <c r="G19" s="40"/>
      <c r="H19" s="46"/>
    </row>
    <row r="20" spans="1:8">
      <c r="A20" s="45"/>
      <c r="B20" s="40"/>
      <c r="C20" s="40"/>
      <c r="D20" s="40"/>
      <c r="E20" s="40"/>
      <c r="F20" s="40"/>
      <c r="G20" s="40"/>
      <c r="H20" s="46"/>
    </row>
    <row r="21" spans="1:8">
      <c r="A21" s="45"/>
      <c r="B21" s="40"/>
      <c r="C21" s="40"/>
      <c r="D21" s="40"/>
      <c r="E21" s="40"/>
      <c r="F21" s="40"/>
      <c r="G21" s="40"/>
      <c r="H21" s="46"/>
    </row>
    <row r="22" spans="1:8">
      <c r="A22" s="45"/>
      <c r="B22" s="40"/>
      <c r="C22" s="40"/>
      <c r="D22" s="40"/>
      <c r="E22" s="40"/>
      <c r="F22" s="40"/>
      <c r="G22" s="40"/>
      <c r="H22" s="46"/>
    </row>
    <row r="23" spans="1:8">
      <c r="A23" s="45"/>
      <c r="B23" s="40"/>
      <c r="C23" s="40"/>
      <c r="D23" s="40"/>
      <c r="E23" s="40"/>
      <c r="F23" s="40"/>
      <c r="G23" s="40"/>
      <c r="H23" s="46"/>
    </row>
    <row r="24" spans="1:8">
      <c r="A24" s="45"/>
      <c r="B24" s="40"/>
      <c r="C24" s="40"/>
      <c r="D24" s="40"/>
      <c r="E24" s="40"/>
      <c r="F24" s="40"/>
      <c r="G24" s="40"/>
      <c r="H24" s="46"/>
    </row>
    <row r="25" spans="1:8">
      <c r="A25" s="45"/>
      <c r="B25" s="40"/>
      <c r="C25" s="40"/>
      <c r="D25" s="40"/>
      <c r="E25" s="40"/>
      <c r="F25" s="40"/>
      <c r="G25" s="40"/>
      <c r="H25" s="46"/>
    </row>
    <row r="26" spans="1:8">
      <c r="A26" s="45"/>
      <c r="B26" s="40"/>
      <c r="C26" s="40"/>
      <c r="D26" s="40"/>
      <c r="E26" s="40"/>
      <c r="F26" s="40"/>
      <c r="G26" s="40"/>
      <c r="H26" s="46"/>
    </row>
    <row r="27" spans="1:8">
      <c r="A27" s="45"/>
      <c r="B27" s="40"/>
      <c r="C27" s="40"/>
      <c r="D27" s="40"/>
      <c r="E27" s="40"/>
      <c r="F27" s="40"/>
      <c r="G27" s="40"/>
      <c r="H27" s="46"/>
    </row>
    <row r="28" spans="1:8">
      <c r="A28" s="36"/>
      <c r="B28" s="37"/>
      <c r="C28" s="37"/>
      <c r="D28" s="37"/>
      <c r="E28" s="37"/>
      <c r="F28" s="37"/>
      <c r="G28" s="37"/>
      <c r="H28" s="38"/>
    </row>
    <row r="32" spans="1:8">
      <c r="A32" s="39" t="s">
        <v>998</v>
      </c>
      <c r="B32" s="40"/>
      <c r="C32" s="15"/>
      <c r="D32" s="41" t="s">
        <v>999</v>
      </c>
      <c r="E32" s="40"/>
      <c r="F32" s="15"/>
      <c r="G32" s="15"/>
    </row>
    <row r="33" spans="1:7" ht="15.75" customHeight="1">
      <c r="A33" s="16" t="s">
        <v>702</v>
      </c>
      <c r="B33" s="20">
        <v>-10.28</v>
      </c>
      <c r="C33" s="15"/>
      <c r="D33" s="16" t="s">
        <v>894</v>
      </c>
      <c r="E33" s="20">
        <v>0.75</v>
      </c>
      <c r="F33" s="15"/>
      <c r="G33" s="15"/>
    </row>
    <row r="34" spans="1:7" ht="15.75" customHeight="1">
      <c r="A34" s="16" t="s">
        <v>178</v>
      </c>
      <c r="B34" s="20">
        <v>-10.050000000000001</v>
      </c>
      <c r="C34" s="15"/>
      <c r="D34" s="16" t="s">
        <v>902</v>
      </c>
      <c r="E34" s="20">
        <v>1.86</v>
      </c>
      <c r="F34" s="15"/>
      <c r="G34" s="15"/>
    </row>
    <row r="35" spans="1:7" ht="15.75" customHeight="1">
      <c r="A35" s="16" t="s">
        <v>233</v>
      </c>
      <c r="B35" s="20">
        <v>-9.56</v>
      </c>
      <c r="C35" s="15"/>
      <c r="D35" s="16" t="s">
        <v>848</v>
      </c>
      <c r="E35" s="20">
        <v>1.98</v>
      </c>
      <c r="F35" s="15"/>
      <c r="G35" s="15"/>
    </row>
    <row r="36" spans="1:7" ht="15.75" customHeight="1">
      <c r="A36" s="16" t="s">
        <v>257</v>
      </c>
      <c r="B36" s="20">
        <v>-6.3</v>
      </c>
      <c r="C36" s="15"/>
      <c r="D36" s="16" t="s">
        <v>638</v>
      </c>
      <c r="E36" s="20">
        <v>3.18</v>
      </c>
      <c r="F36" s="15"/>
      <c r="G36" s="15"/>
    </row>
    <row r="37" spans="1:7" ht="15.75" customHeight="1">
      <c r="A37" s="16" t="s">
        <v>533</v>
      </c>
      <c r="B37" s="20">
        <v>-5.62</v>
      </c>
      <c r="C37" s="15"/>
      <c r="D37" s="16" t="s">
        <v>98</v>
      </c>
      <c r="E37" s="20">
        <v>3.25</v>
      </c>
      <c r="F37" s="15"/>
      <c r="G37" s="15"/>
    </row>
    <row r="38" spans="1:7" ht="15.75" customHeight="1">
      <c r="A38" s="16" t="s">
        <v>110</v>
      </c>
      <c r="B38" s="20">
        <v>-2.85</v>
      </c>
      <c r="C38" s="15"/>
      <c r="D38" s="16" t="s">
        <v>545</v>
      </c>
      <c r="E38" s="20">
        <v>3.3</v>
      </c>
      <c r="F38" s="15"/>
      <c r="G38" s="15"/>
    </row>
    <row r="39" spans="1:7" ht="15.75" customHeight="1">
      <c r="A39" s="16" t="s">
        <v>800</v>
      </c>
      <c r="B39" s="20">
        <v>-2.72</v>
      </c>
      <c r="C39" s="15"/>
      <c r="D39" s="16" t="s">
        <v>172</v>
      </c>
      <c r="E39" s="20">
        <v>4.33</v>
      </c>
      <c r="F39" s="15"/>
      <c r="G39" s="15"/>
    </row>
    <row r="40" spans="1:7" ht="15.75" customHeight="1">
      <c r="A40" s="16" t="s">
        <v>413</v>
      </c>
      <c r="B40" s="20">
        <v>-2.08</v>
      </c>
      <c r="C40" s="15"/>
      <c r="D40" s="16" t="s">
        <v>74</v>
      </c>
      <c r="E40" s="20">
        <v>6.81</v>
      </c>
      <c r="F40" s="15"/>
      <c r="G40" s="15"/>
    </row>
    <row r="41" spans="1:7" ht="15.75" customHeight="1">
      <c r="A41" s="16" t="s">
        <v>714</v>
      </c>
      <c r="B41" s="20">
        <v>-1.75</v>
      </c>
      <c r="C41" s="15"/>
      <c r="D41" s="16" t="s">
        <v>429</v>
      </c>
      <c r="E41" s="20">
        <v>10.61</v>
      </c>
      <c r="F41" s="15"/>
      <c r="G41" s="15"/>
    </row>
    <row r="42" spans="1:7">
      <c r="A42" s="15"/>
      <c r="B42" s="15"/>
      <c r="C42" s="15"/>
      <c r="D42" s="15"/>
      <c r="E42" s="15"/>
      <c r="F42" s="15"/>
      <c r="G42" s="15"/>
    </row>
  </sheetData>
  <mergeCells count="4">
    <mergeCell ref="A2:H14"/>
    <mergeCell ref="A32:B32"/>
    <mergeCell ref="D32:E32"/>
    <mergeCell ref="A16:H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2026-02-01T02:25:08Z</dcterms:created>
  <dcterms:modified xsi:type="dcterms:W3CDTF">2026-02-01T02:25:08Z</dcterms:modified>
  <cp:category/>
  <cp:contentStatus/>
</cp:coreProperties>
</file>